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328"/>
  <workbookPr/>
  <mc:AlternateContent xmlns:mc="http://schemas.openxmlformats.org/markup-compatibility/2006">
    <mc:Choice Requires="x15">
      <x15ac:absPath xmlns:x15ac="http://schemas.microsoft.com/office/spreadsheetml/2010/11/ac" url="C:\Users\Pyka\Documents\GitHub\Sonar-Watch\Hardware\Complete v3.0\"/>
    </mc:Choice>
  </mc:AlternateContent>
  <xr:revisionPtr revIDLastSave="0" documentId="13_ncr:1_{6BC251FF-87D0-4E71-804D-337FB4838FF2}" xr6:coauthVersionLast="47" xr6:coauthVersionMax="47" xr10:uidLastSave="{00000000-0000-0000-0000-000000000000}"/>
  <bookViews>
    <workbookView xWindow="19200" yWindow="0" windowWidth="19200" windowHeight="15600" activeTab="2" xr2:uid="{00000000-000D-0000-FFFF-FFFF00000000}"/>
  </bookViews>
  <sheets>
    <sheet name="Connections" sheetId="1" r:id="rId1"/>
    <sheet name="Parts" sheetId="3" r:id="rId2"/>
    <sheet name="Math" sheetId="2" r:id="rId3"/>
    <sheet name="LED_Pins" sheetId="4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O47" i="2" l="1"/>
  <c r="O48" i="2"/>
  <c r="O49" i="2"/>
  <c r="O50" i="2"/>
  <c r="O51" i="2"/>
  <c r="O52" i="2"/>
  <c r="O53" i="2"/>
  <c r="O54" i="2"/>
  <c r="O55" i="2"/>
  <c r="O56" i="2"/>
  <c r="O57" i="2"/>
  <c r="O58" i="2"/>
  <c r="O59" i="2"/>
  <c r="O60" i="2"/>
  <c r="O61" i="2"/>
  <c r="O62" i="2"/>
  <c r="O63" i="2"/>
  <c r="O64" i="2"/>
  <c r="O65" i="2"/>
  <c r="O66" i="2"/>
  <c r="O67" i="2"/>
  <c r="O46" i="2"/>
  <c r="O45" i="2"/>
  <c r="P47" i="2"/>
  <c r="P48" i="2"/>
  <c r="P49" i="2"/>
  <c r="P50" i="2"/>
  <c r="P51" i="2"/>
  <c r="P52" i="2"/>
  <c r="P53" i="2"/>
  <c r="P54" i="2"/>
  <c r="P55" i="2"/>
  <c r="P56" i="2"/>
  <c r="P57" i="2"/>
  <c r="P58" i="2"/>
  <c r="P59" i="2"/>
  <c r="P60" i="2"/>
  <c r="P61" i="2"/>
  <c r="P62" i="2"/>
  <c r="P63" i="2"/>
  <c r="P64" i="2"/>
  <c r="P65" i="2"/>
  <c r="P66" i="2"/>
  <c r="P67" i="2"/>
  <c r="C44" i="2"/>
  <c r="C43" i="2" s="1"/>
  <c r="C49" i="2" s="1"/>
  <c r="F13" i="2"/>
  <c r="I22" i="3"/>
  <c r="C208" i="4"/>
  <c r="D208" i="4"/>
  <c r="E208" i="4"/>
  <c r="F208" i="4"/>
  <c r="G208" i="4"/>
  <c r="H208" i="4"/>
  <c r="I208" i="4"/>
  <c r="J208" i="4"/>
  <c r="K208" i="4"/>
  <c r="L208" i="4"/>
  <c r="M208" i="4"/>
  <c r="N208" i="4"/>
  <c r="O208" i="4"/>
  <c r="P208" i="4"/>
  <c r="Q208" i="4"/>
  <c r="R208" i="4"/>
  <c r="C209" i="4"/>
  <c r="D209" i="4"/>
  <c r="E209" i="4"/>
  <c r="F209" i="4"/>
  <c r="G209" i="4"/>
  <c r="H209" i="4"/>
  <c r="I209" i="4"/>
  <c r="J209" i="4"/>
  <c r="K209" i="4"/>
  <c r="L209" i="4"/>
  <c r="M209" i="4"/>
  <c r="N209" i="4"/>
  <c r="O209" i="4"/>
  <c r="P209" i="4"/>
  <c r="Q209" i="4"/>
  <c r="R209" i="4"/>
  <c r="I21" i="3"/>
  <c r="G20" i="3"/>
  <c r="I20" i="3" s="1"/>
  <c r="I19" i="3"/>
  <c r="I17" i="3"/>
  <c r="G18" i="3"/>
  <c r="I18" i="3" s="1"/>
  <c r="C34" i="2"/>
  <c r="C33" i="2" s="1"/>
  <c r="C39" i="2" s="1"/>
  <c r="G16" i="3"/>
  <c r="I16" i="3" s="1"/>
  <c r="H15" i="3"/>
  <c r="H6" i="3"/>
  <c r="G15" i="3"/>
  <c r="G14" i="3"/>
  <c r="I14" i="3" s="1"/>
  <c r="F5" i="3"/>
  <c r="G5" i="3" s="1"/>
  <c r="I5" i="3" s="1"/>
  <c r="F6" i="3"/>
  <c r="G6" i="3" s="1"/>
  <c r="F7" i="3"/>
  <c r="G7" i="3" s="1"/>
  <c r="I7" i="3" s="1"/>
  <c r="F8" i="3"/>
  <c r="G8" i="3" s="1"/>
  <c r="I8" i="3" s="1"/>
  <c r="F9" i="3"/>
  <c r="G9" i="3" s="1"/>
  <c r="I9" i="3" s="1"/>
  <c r="F10" i="3"/>
  <c r="G10" i="3" s="1"/>
  <c r="I10" i="3" s="1"/>
  <c r="F11" i="3"/>
  <c r="G11" i="3" s="1"/>
  <c r="I11" i="3" s="1"/>
  <c r="F12" i="3"/>
  <c r="G12" i="3" s="1"/>
  <c r="I12" i="3" s="1"/>
  <c r="F13" i="3"/>
  <c r="G13" i="3" s="1"/>
  <c r="I13" i="3" s="1"/>
  <c r="F4" i="3"/>
  <c r="G4" i="3" s="1"/>
  <c r="I4" i="3" s="1"/>
  <c r="F3" i="3"/>
  <c r="G3" i="3" s="1"/>
  <c r="I3" i="3" s="1"/>
  <c r="C5" i="2"/>
  <c r="C7" i="2" s="1"/>
  <c r="C24" i="2" l="1"/>
  <c r="C23" i="2" s="1"/>
  <c r="C28" i="2" s="1"/>
  <c r="I6" i="3"/>
  <c r="I15" i="3"/>
  <c r="C18" i="2"/>
  <c r="C14" i="2"/>
  <c r="C19" i="2"/>
</calcChain>
</file>

<file path=xl/sharedStrings.xml><?xml version="1.0" encoding="utf-8"?>
<sst xmlns="http://schemas.openxmlformats.org/spreadsheetml/2006/main" count="1087" uniqueCount="391">
  <si>
    <t>A</t>
  </si>
  <si>
    <t>MCP73832T-2ACI_OT</t>
  </si>
  <si>
    <t>GROUND</t>
  </si>
  <si>
    <t>GRM21BC81E106ME51K</t>
  </si>
  <si>
    <t>LIR2032</t>
  </si>
  <si>
    <t>Reviewed?</t>
  </si>
  <si>
    <t>Pin #</t>
  </si>
  <si>
    <t>POGO1</t>
  </si>
  <si>
    <t>CHG1</t>
  </si>
  <si>
    <t>RN73H1JTTD5052F50</t>
  </si>
  <si>
    <t>C1</t>
  </si>
  <si>
    <t>R2</t>
  </si>
  <si>
    <t>LIR2032:</t>
  </si>
  <si>
    <t>I_Reg</t>
  </si>
  <si>
    <t>R_Prog</t>
  </si>
  <si>
    <t>kOhm</t>
  </si>
  <si>
    <t>Capacity</t>
  </si>
  <si>
    <t>mAh</t>
  </si>
  <si>
    <t>mA</t>
  </si>
  <si>
    <t>time to full</t>
  </si>
  <si>
    <t>hours</t>
  </si>
  <si>
    <t>Reference:</t>
  </si>
  <si>
    <t>Component:</t>
  </si>
  <si>
    <t>Function:</t>
  </si>
  <si>
    <t>2x1 Pogo Connector</t>
  </si>
  <si>
    <t>USB Charging</t>
  </si>
  <si>
    <t>USB_+</t>
  </si>
  <si>
    <t>Pin Function</t>
  </si>
  <si>
    <t>R5</t>
  </si>
  <si>
    <t>Connects to Component</t>
  </si>
  <si>
    <t>At Pin</t>
  </si>
  <si>
    <t>USB_-</t>
  </si>
  <si>
    <t>R1</t>
  </si>
  <si>
    <t>TPS7A0230PDBVR</t>
  </si>
  <si>
    <t>BAS3010A03WE6327HTSA1</t>
  </si>
  <si>
    <t>B3U-1100P</t>
  </si>
  <si>
    <t>STM32G431KBT6 (LQFP32)</t>
  </si>
  <si>
    <t>V</t>
  </si>
  <si>
    <t>Programming Resistor</t>
  </si>
  <si>
    <t>Item</t>
  </si>
  <si>
    <t>Units</t>
  </si>
  <si>
    <t>Value</t>
  </si>
  <si>
    <t>beneath the 35mA max charge current</t>
  </si>
  <si>
    <t>kOhms</t>
  </si>
  <si>
    <t>V1</t>
  </si>
  <si>
    <t>V2</t>
  </si>
  <si>
    <t>Current</t>
  </si>
  <si>
    <t>R_TOT</t>
  </si>
  <si>
    <t>Voltage Ladder Part 1 - finding Resistances at Max charge</t>
  </si>
  <si>
    <t>RC1206FR-07120KL</t>
  </si>
  <si>
    <t>RMCF0603FT300K</t>
  </si>
  <si>
    <t>Yes</t>
  </si>
  <si>
    <t>Board Count</t>
  </si>
  <si>
    <t>Purchase Amount</t>
  </si>
  <si>
    <t>Link</t>
  </si>
  <si>
    <t>https://www.digikey.com/en/products/detail/murata-electronics/GRM21BC81E106ME51K/10694904</t>
  </si>
  <si>
    <t>https://www.digikey.co.nz/en/products/detail/koa-speer-electronics-inc/RN73H1JTTD5052F50/10689137?srsltid=AfmBOopWHDrcfCTLSDiWgPHwzQPnCBM5AwF3WEe8fpWut4A0kQZ9nn5g</t>
  </si>
  <si>
    <t>1N4148WT</t>
  </si>
  <si>
    <t>https://www.digikey.com/en/products/detail/microchip-technology/MCP73832T-2ACI-OT/1223142</t>
  </si>
  <si>
    <t>https://www.amazon.com/EEMB-LIR2032-Rechargeable-Batteries-Controllers/dp/B07MHXSM8R/ref=sr_1_5_sspa?crid=1PRJKYDDEN5KJ&amp;dib=eyJ2IjoiMSJ9.f57M1EyxIdzN9iUp7yFzmz0qBRs3sd42c7SjZkGAVgQftIz5FjwH9in4-xIFEQpSKMbbmEj7NGE-0tq1bLgVw4sXYNNV7HkFSAxx8_gbopf6uYUhxWfVrfUpwMFS73l8qHGNf8NCRAdtFxACiTO_b8neGX66iIzIjGa1qppc2pWWkory9BrNGguUGVcBS-yyy33CXe1PF1V-ducRTJJ35IkBX7Ofh2JPmFkwSYqU6FhzvJuQEemo-HaUzk4xVSBIrK9pH2iiguFcIbUS7xhr6kRMetafhqlUlv-WR4hkf58.fxsOuxbLGHRVabw7a4quJqS3J7UVXXHVh6OBfZJxl1U&amp;dib_tag=se&amp;keywords=lir2032&amp;qid=1748110992&amp;sprefix=lir2032%2Caps%2C192&amp;sr=8-5-spons&amp;sp_csd=d2lkZ2V0TmFtZT1zcF9hdGY&amp;psc=1</t>
  </si>
  <si>
    <t>https://www.digikey.com/en/products/detail/texas-instruments/TPS7A0230PDBVR/12165118</t>
  </si>
  <si>
    <t>Unit Price</t>
  </si>
  <si>
    <t>https://www.digikey.com/en/products/detail/infineon-technologies/BAS3010A03WE6327HTSA1/1280885</t>
  </si>
  <si>
    <t>Max Price</t>
  </si>
  <si>
    <t>https://www.digikey.com/en/products/detail/omron-electronics-inc-emc-div/B3U-1100P/1534339</t>
  </si>
  <si>
    <t>https://estore.st.com/en/stm32g431kbt6-cpn.html?srsltid=AfmBOopoSXLie16hskZ4STGyfxuxGZH_BMPmLBq2jPxkMr4FL8SPz4tV</t>
  </si>
  <si>
    <t>https://www.digikey.com/en/products/detail/yageo/RC1206FR-07120KL/728524</t>
  </si>
  <si>
    <t>https://www.digikey.com/en/products/detail/stackpole-electronics-inc/RMCF0603FT300K/1760826</t>
  </si>
  <si>
    <t>BAT-HLD-003-SMT</t>
  </si>
  <si>
    <t>https://www.digikey.com/en/products/detail/onsemi/1N4148WT/1954014</t>
  </si>
  <si>
    <t>https://www.digikey.com/en/products/detail/te-connectivity-linx/BAT-HLD-003-SMT/14301785</t>
  </si>
  <si>
    <t>Pogo</t>
  </si>
  <si>
    <t>https://www.amazon.com/dp/B0CSX6ZQ1H?ref_=ppx_hzsearch_conn_dt_b_fed_asin_title_1</t>
  </si>
  <si>
    <t>Index</t>
  </si>
  <si>
    <t>Acquired</t>
  </si>
  <si>
    <t>RC1005F103CS</t>
  </si>
  <si>
    <t>https://www.digikey.com/en/products/detail/samsung-electro-mechanics/RC1005F103CS/3903439</t>
  </si>
  <si>
    <t>Added?</t>
  </si>
  <si>
    <t>Notes</t>
  </si>
  <si>
    <t>DB1</t>
  </si>
  <si>
    <t>GNDREF</t>
  </si>
  <si>
    <t>--</t>
  </si>
  <si>
    <t>UPDI</t>
  </si>
  <si>
    <t>U2</t>
  </si>
  <si>
    <t>NC</t>
  </si>
  <si>
    <t>Battery Charger</t>
  </si>
  <si>
    <t>STAT</t>
  </si>
  <si>
    <t>R3</t>
  </si>
  <si>
    <t>PF4</t>
  </si>
  <si>
    <t>VSS</t>
  </si>
  <si>
    <t>VBAT</t>
  </si>
  <si>
    <t>C2</t>
  </si>
  <si>
    <t>BT1</t>
  </si>
  <si>
    <t>P</t>
  </si>
  <si>
    <t>U1</t>
  </si>
  <si>
    <t>Voltage Ladder Part 2 - Finding voltages at Min charge</t>
  </si>
  <si>
    <t>Voltage Ladder Part 3 - Finding voltages at random charge</t>
  </si>
  <si>
    <t>VDD</t>
  </si>
  <si>
    <t>PROG</t>
  </si>
  <si>
    <t>Voltage Regulator</t>
  </si>
  <si>
    <t>regualtes votlage to 3.3V</t>
  </si>
  <si>
    <t>IN</t>
  </si>
  <si>
    <t>EN</t>
  </si>
  <si>
    <t>C</t>
  </si>
  <si>
    <t>DB2</t>
  </si>
  <si>
    <t>OUT</t>
  </si>
  <si>
    <t>U3</t>
  </si>
  <si>
    <t>R7</t>
  </si>
  <si>
    <t>R8</t>
  </si>
  <si>
    <t>AVDD</t>
  </si>
  <si>
    <t>BB_B1</t>
  </si>
  <si>
    <t>ATMEGA4808-AU</t>
  </si>
  <si>
    <t>Controller</t>
  </si>
  <si>
    <t>PA3</t>
  </si>
  <si>
    <t>SCL</t>
  </si>
  <si>
    <t>PA4</t>
  </si>
  <si>
    <t>B</t>
  </si>
  <si>
    <t>D</t>
  </si>
  <si>
    <t>E</t>
  </si>
  <si>
    <t>F</t>
  </si>
  <si>
    <t>G</t>
  </si>
  <si>
    <t>H</t>
  </si>
  <si>
    <t>I</t>
  </si>
  <si>
    <t>J</t>
  </si>
  <si>
    <t>K</t>
  </si>
  <si>
    <t>L</t>
  </si>
  <si>
    <t>M</t>
  </si>
  <si>
    <t>N</t>
  </si>
  <si>
    <t>O</t>
  </si>
  <si>
    <t>PA5</t>
  </si>
  <si>
    <t>PA6</t>
  </si>
  <si>
    <t>PA7</t>
  </si>
  <si>
    <t>PC0</t>
  </si>
  <si>
    <t>PC1</t>
  </si>
  <si>
    <t>PC2</t>
  </si>
  <si>
    <t>PC3</t>
  </si>
  <si>
    <t>PD0</t>
  </si>
  <si>
    <t>PD1</t>
  </si>
  <si>
    <t>PD2</t>
  </si>
  <si>
    <t>PD3</t>
  </si>
  <si>
    <t>PD4</t>
  </si>
  <si>
    <t>PD5</t>
  </si>
  <si>
    <t>PD6</t>
  </si>
  <si>
    <t>PD7</t>
  </si>
  <si>
    <t>LED</t>
  </si>
  <si>
    <t>GND</t>
  </si>
  <si>
    <t>PF1</t>
  </si>
  <si>
    <t>PF0</t>
  </si>
  <si>
    <t>PF2</t>
  </si>
  <si>
    <t>PF3</t>
  </si>
  <si>
    <t>VCC</t>
  </si>
  <si>
    <t>https://www.digikey.com/en/products/detail/infineon-technologies/IRLML6402TRPBF/811437</t>
  </si>
  <si>
    <t>https://www.digikey.com/en/products/detail/analog-devices-inc-maxim-integrated/DS3231MZ-V/3133910</t>
  </si>
  <si>
    <t>DS3231MZ/V+</t>
  </si>
  <si>
    <t>IRLML6402TRPBF</t>
  </si>
  <si>
    <t>LEDS</t>
  </si>
  <si>
    <t>https://www.digikey.com/en/products/detail/venkel/CTL0402FGR1T-CT/21528282</t>
  </si>
  <si>
    <t>https://www.digikey.com/en/products/detail/yageo/RC0201FR-074K7L/1948894</t>
  </si>
  <si>
    <t>RC0201FR-074K7L</t>
  </si>
  <si>
    <t>https://www.digikey.com/en/products/detail/microchip-technology/ATMEGA4808-AU/10444933?gad_source=1&amp;gad_campaignid=17922795960&amp;gbraid=0AAAAADrbLlhXBbN0-RwEkW3iR8Oyi2IWh&amp;gclid=Cj0KCQjwsNnCBhDRARIsAEzia4CCH6KBoLjvrLAgEOkUOtwnUuw45lHvqg7d5k1uoTCSpaOaE4icGXkaAj4jEALw_wcB&amp;gclsrc=aw.ds</t>
  </si>
  <si>
    <t>HIGH</t>
  </si>
  <si>
    <t>LOW</t>
  </si>
  <si>
    <t>D201</t>
  </si>
  <si>
    <t>D200</t>
  </si>
  <si>
    <t>D199</t>
  </si>
  <si>
    <t>D198</t>
  </si>
  <si>
    <t>D197</t>
  </si>
  <si>
    <t>D196</t>
  </si>
  <si>
    <t>D195</t>
  </si>
  <si>
    <t>D194</t>
  </si>
  <si>
    <t>D193</t>
  </si>
  <si>
    <t>D192</t>
  </si>
  <si>
    <t>D191</t>
  </si>
  <si>
    <t>D190</t>
  </si>
  <si>
    <t>D189</t>
  </si>
  <si>
    <t>D188</t>
  </si>
  <si>
    <t>D187</t>
  </si>
  <si>
    <t>D186</t>
  </si>
  <si>
    <t>D185</t>
  </si>
  <si>
    <t>D184</t>
  </si>
  <si>
    <t>D183</t>
  </si>
  <si>
    <t>D182</t>
  </si>
  <si>
    <t>D181</t>
  </si>
  <si>
    <t>D180</t>
  </si>
  <si>
    <t>D179</t>
  </si>
  <si>
    <t>D178</t>
  </si>
  <si>
    <t>D177</t>
  </si>
  <si>
    <t>D176</t>
  </si>
  <si>
    <t>D175</t>
  </si>
  <si>
    <t>D174</t>
  </si>
  <si>
    <t>D173</t>
  </si>
  <si>
    <t>D172</t>
  </si>
  <si>
    <t>D171</t>
  </si>
  <si>
    <t>D170</t>
  </si>
  <si>
    <t>D169</t>
  </si>
  <si>
    <t>D168</t>
  </si>
  <si>
    <t>D167</t>
  </si>
  <si>
    <t>D166</t>
  </si>
  <si>
    <t>D165</t>
  </si>
  <si>
    <t>D164</t>
  </si>
  <si>
    <t>D163</t>
  </si>
  <si>
    <t>D162</t>
  </si>
  <si>
    <t>D161</t>
  </si>
  <si>
    <t>D160</t>
  </si>
  <si>
    <t>D159</t>
  </si>
  <si>
    <t>D158</t>
  </si>
  <si>
    <t>D157</t>
  </si>
  <si>
    <t>D156</t>
  </si>
  <si>
    <t>D155</t>
  </si>
  <si>
    <t>D154</t>
  </si>
  <si>
    <t>D153</t>
  </si>
  <si>
    <t>D152</t>
  </si>
  <si>
    <t>D151</t>
  </si>
  <si>
    <t>D150</t>
  </si>
  <si>
    <t>D149</t>
  </si>
  <si>
    <t>D148</t>
  </si>
  <si>
    <t>D147</t>
  </si>
  <si>
    <t>D146</t>
  </si>
  <si>
    <t>D145</t>
  </si>
  <si>
    <t>D144</t>
  </si>
  <si>
    <t>D143</t>
  </si>
  <si>
    <t>D142</t>
  </si>
  <si>
    <t>D141</t>
  </si>
  <si>
    <t>D140</t>
  </si>
  <si>
    <t>D139</t>
  </si>
  <si>
    <t>D138</t>
  </si>
  <si>
    <t>D137</t>
  </si>
  <si>
    <t>D136</t>
  </si>
  <si>
    <t>D135</t>
  </si>
  <si>
    <t>D134</t>
  </si>
  <si>
    <t>D133</t>
  </si>
  <si>
    <t>D132</t>
  </si>
  <si>
    <t>D131</t>
  </si>
  <si>
    <t>D130</t>
  </si>
  <si>
    <t>D129</t>
  </si>
  <si>
    <t>D128</t>
  </si>
  <si>
    <t>D127</t>
  </si>
  <si>
    <t>D126</t>
  </si>
  <si>
    <t>D125</t>
  </si>
  <si>
    <t>D124</t>
  </si>
  <si>
    <t>D123</t>
  </si>
  <si>
    <t>D122</t>
  </si>
  <si>
    <t>D121</t>
  </si>
  <si>
    <t>D120</t>
  </si>
  <si>
    <t>D119</t>
  </si>
  <si>
    <t>D118</t>
  </si>
  <si>
    <t>D117</t>
  </si>
  <si>
    <t>D116</t>
  </si>
  <si>
    <t>D115</t>
  </si>
  <si>
    <t>D114</t>
  </si>
  <si>
    <t>D113</t>
  </si>
  <si>
    <t>D112</t>
  </si>
  <si>
    <t>D111</t>
  </si>
  <si>
    <t>D110</t>
  </si>
  <si>
    <t>D109</t>
  </si>
  <si>
    <t>D108</t>
  </si>
  <si>
    <t>D107</t>
  </si>
  <si>
    <t>D106</t>
  </si>
  <si>
    <t>D105</t>
  </si>
  <si>
    <t>D104</t>
  </si>
  <si>
    <t>D103</t>
  </si>
  <si>
    <t>D102</t>
  </si>
  <si>
    <t>D101</t>
  </si>
  <si>
    <t>D100</t>
  </si>
  <si>
    <t>D99</t>
  </si>
  <si>
    <t>D98</t>
  </si>
  <si>
    <t>D97</t>
  </si>
  <si>
    <t>D96</t>
  </si>
  <si>
    <t>D95</t>
  </si>
  <si>
    <t>D94</t>
  </si>
  <si>
    <t>D93</t>
  </si>
  <si>
    <t>D92</t>
  </si>
  <si>
    <t>D91</t>
  </si>
  <si>
    <t>D90</t>
  </si>
  <si>
    <t>D89</t>
  </si>
  <si>
    <t>D88</t>
  </si>
  <si>
    <t>D87</t>
  </si>
  <si>
    <t>D86</t>
  </si>
  <si>
    <t>D85</t>
  </si>
  <si>
    <t>D84</t>
  </si>
  <si>
    <t>D83</t>
  </si>
  <si>
    <t>D82</t>
  </si>
  <si>
    <t>D81</t>
  </si>
  <si>
    <t>D80</t>
  </si>
  <si>
    <t>D79</t>
  </si>
  <si>
    <t>D78</t>
  </si>
  <si>
    <t>D77</t>
  </si>
  <si>
    <t>D76</t>
  </si>
  <si>
    <t>D75</t>
  </si>
  <si>
    <t>D74</t>
  </si>
  <si>
    <t>D73</t>
  </si>
  <si>
    <t>D72</t>
  </si>
  <si>
    <t>D71</t>
  </si>
  <si>
    <t>D70</t>
  </si>
  <si>
    <t>D69</t>
  </si>
  <si>
    <t>D68</t>
  </si>
  <si>
    <t>D67</t>
  </si>
  <si>
    <t>D66</t>
  </si>
  <si>
    <t>D65</t>
  </si>
  <si>
    <t>D64</t>
  </si>
  <si>
    <t>D63</t>
  </si>
  <si>
    <t>D62</t>
  </si>
  <si>
    <t>D61</t>
  </si>
  <si>
    <t>D60</t>
  </si>
  <si>
    <t>D59</t>
  </si>
  <si>
    <t>D58</t>
  </si>
  <si>
    <t>D57</t>
  </si>
  <si>
    <t>D56</t>
  </si>
  <si>
    <t>D55</t>
  </si>
  <si>
    <t>D54</t>
  </si>
  <si>
    <t>D53</t>
  </si>
  <si>
    <t>D52</t>
  </si>
  <si>
    <t>D51</t>
  </si>
  <si>
    <t>D50</t>
  </si>
  <si>
    <t>D49</t>
  </si>
  <si>
    <t>D48</t>
  </si>
  <si>
    <t>D47</t>
  </si>
  <si>
    <t>D46</t>
  </si>
  <si>
    <t>D45</t>
  </si>
  <si>
    <t>D44</t>
  </si>
  <si>
    <t>D43</t>
  </si>
  <si>
    <t>D42</t>
  </si>
  <si>
    <t>D41</t>
  </si>
  <si>
    <t>D40</t>
  </si>
  <si>
    <t>D39</t>
  </si>
  <si>
    <t>D38</t>
  </si>
  <si>
    <t>D37</t>
  </si>
  <si>
    <t>D36</t>
  </si>
  <si>
    <t>D35</t>
  </si>
  <si>
    <t>D34</t>
  </si>
  <si>
    <t>D33</t>
  </si>
  <si>
    <t>D32</t>
  </si>
  <si>
    <t>D31</t>
  </si>
  <si>
    <t>D30</t>
  </si>
  <si>
    <t>D29</t>
  </si>
  <si>
    <t>D28</t>
  </si>
  <si>
    <t>D27</t>
  </si>
  <si>
    <t>D26</t>
  </si>
  <si>
    <t>D25</t>
  </si>
  <si>
    <t>D24</t>
  </si>
  <si>
    <t>D23</t>
  </si>
  <si>
    <t>D22</t>
  </si>
  <si>
    <t>D21</t>
  </si>
  <si>
    <t>D20</t>
  </si>
  <si>
    <t>D19</t>
  </si>
  <si>
    <t>D18</t>
  </si>
  <si>
    <t>D17</t>
  </si>
  <si>
    <t>D16</t>
  </si>
  <si>
    <t>D15</t>
  </si>
  <si>
    <t>D14</t>
  </si>
  <si>
    <t>D13</t>
  </si>
  <si>
    <t>D12</t>
  </si>
  <si>
    <t>D11</t>
  </si>
  <si>
    <t>D10</t>
  </si>
  <si>
    <t>D9</t>
  </si>
  <si>
    <t>D8</t>
  </si>
  <si>
    <t>D7</t>
  </si>
  <si>
    <t>D6</t>
  </si>
  <si>
    <t>D5</t>
  </si>
  <si>
    <t>D4</t>
  </si>
  <si>
    <t>D3</t>
  </si>
  <si>
    <t>D2</t>
  </si>
  <si>
    <t>D1</t>
  </si>
  <si>
    <t>16</t>
  </si>
  <si>
    <t>15</t>
  </si>
  <si>
    <t>14</t>
  </si>
  <si>
    <t>13</t>
  </si>
  <si>
    <t>12</t>
  </si>
  <si>
    <t>11</t>
  </si>
  <si>
    <t>10</t>
  </si>
  <si>
    <t>9</t>
  </si>
  <si>
    <t>8</t>
  </si>
  <si>
    <t>7</t>
  </si>
  <si>
    <t>6</t>
  </si>
  <si>
    <t>5</t>
  </si>
  <si>
    <t>4</t>
  </si>
  <si>
    <t>3</t>
  </si>
  <si>
    <t>2</t>
  </si>
  <si>
    <t>1</t>
  </si>
  <si>
    <t>LED\NET</t>
  </si>
  <si>
    <t>Pin</t>
  </si>
  <si>
    <t>SI2301DS</t>
  </si>
  <si>
    <t>https://www.amazon.com/dp/B08RHQGB8F?ref=ppx_yo2ov_dt_b_fed_asin_title</t>
  </si>
  <si>
    <t>Voltage Ladder Part 4 - Finding minum voltage to portect battery</t>
  </si>
  <si>
    <t>Voltage - capacity chart</t>
  </si>
  <si>
    <t>Raw data</t>
  </si>
  <si>
    <t>Cap</t>
  </si>
  <si>
    <t>Scaled volts</t>
  </si>
  <si>
    <t>inverse charge</t>
  </si>
  <si>
    <t>adjsuted volts</t>
  </si>
  <si>
    <t>Needed data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</si>
</sst>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3">
    <numFmt numFmtId="44" formatCode="_(&quot;$&quot;* #,##0.00_);_(&quot;$&quot;* \(#,##0.00\);_(&quot;$&quot;* &quot;-&quot;??_);_(@_)"/>
    <numFmt numFmtId="164" formatCode="0.000"/>
    <numFmt numFmtId="165" formatCode="0.0000"/>
  </numFmts>
  <fonts count="10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name val="Calibri"/>
      <family val="2"/>
      <scheme val="minor"/>
    </font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2"/>
      <color theme="1"/>
      <name val="Tahoma"/>
      <family val="2"/>
    </font>
    <font>
      <sz val="12"/>
      <color theme="1"/>
      <name val="Tahoma"/>
      <family val="2"/>
    </font>
    <font>
      <sz val="12"/>
      <name val="Tahoma"/>
      <family val="2"/>
    </font>
    <font>
      <u/>
      <sz val="12"/>
      <name val="Tahoma"/>
      <family val="2"/>
    </font>
  </fonts>
  <fills count="2">
    <fill>
      <patternFill patternType="none"/>
    </fill>
    <fill>
      <patternFill patternType="gray125"/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/>
      <bottom style="thin">
        <color indexed="64"/>
      </bottom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theme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</borders>
  <cellStyleXfs count="3">
    <xf numFmtId="0" fontId="0" fillId="0" borderId="0"/>
    <xf numFmtId="44" fontId="4" fillId="0" borderId="0" applyFont="0" applyFill="0" applyBorder="0" applyAlignment="0" applyProtection="0"/>
    <xf numFmtId="0" fontId="5" fillId="0" borderId="0" applyNumberFormat="0" applyFill="0" applyBorder="0" applyAlignment="0" applyProtection="0"/>
  </cellStyleXfs>
  <cellXfs count="35">
    <xf numFmtId="0" fontId="0" fillId="0" borderId="0" xfId="0"/>
    <xf numFmtId="0" fontId="1" fillId="0" borderId="1" xfId="0" applyFont="1" applyBorder="1" applyAlignment="1">
      <alignment horizontal="center"/>
    </xf>
    <xf numFmtId="0" fontId="0" fillId="0" borderId="2" xfId="0" applyBorder="1" applyAlignment="1">
      <alignment horizontal="center"/>
    </xf>
    <xf numFmtId="49" fontId="0" fillId="0" borderId="2" xfId="0" applyNumberFormat="1" applyBorder="1" applyAlignment="1">
      <alignment horizontal="center"/>
    </xf>
    <xf numFmtId="0" fontId="0" fillId="0" borderId="3" xfId="0" applyBorder="1" applyAlignment="1">
      <alignment horizontal="center"/>
    </xf>
    <xf numFmtId="49" fontId="0" fillId="0" borderId="3" xfId="0" applyNumberFormat="1" applyBorder="1" applyAlignment="1">
      <alignment horizontal="center"/>
    </xf>
    <xf numFmtId="0" fontId="1" fillId="0" borderId="0" xfId="0" applyFont="1" applyAlignment="1">
      <alignment horizontal="center"/>
    </xf>
    <xf numFmtId="0" fontId="1" fillId="0" borderId="0" xfId="0" applyFont="1"/>
    <xf numFmtId="0" fontId="0" fillId="0" borderId="0" xfId="0" applyAlignment="1">
      <alignment horizontal="center"/>
    </xf>
    <xf numFmtId="0" fontId="1" fillId="0" borderId="0" xfId="0" applyFont="1" applyAlignment="1">
      <alignment horizontal="left"/>
    </xf>
    <xf numFmtId="0" fontId="0" fillId="0" borderId="0" xfId="0" quotePrefix="1" applyAlignment="1">
      <alignment horizontal="right"/>
    </xf>
    <xf numFmtId="0" fontId="3" fillId="0" borderId="0" xfId="0" applyFont="1" applyAlignment="1">
      <alignment horizontal="center"/>
    </xf>
    <xf numFmtId="0" fontId="0" fillId="0" borderId="2" xfId="0" quotePrefix="1" applyBorder="1" applyAlignment="1">
      <alignment horizontal="center"/>
    </xf>
    <xf numFmtId="0" fontId="0" fillId="0" borderId="3" xfId="0" quotePrefix="1" applyBorder="1" applyAlignment="1">
      <alignment horizontal="center"/>
    </xf>
    <xf numFmtId="0" fontId="0" fillId="0" borderId="4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6" xfId="0" applyBorder="1" applyAlignment="1">
      <alignment horizontal="left"/>
    </xf>
    <xf numFmtId="0" fontId="1" fillId="0" borderId="7" xfId="0" applyFont="1" applyBorder="1" applyAlignment="1">
      <alignment horizontal="center"/>
    </xf>
    <xf numFmtId="0" fontId="7" fillId="0" borderId="0" xfId="0" applyFont="1"/>
    <xf numFmtId="44" fontId="7" fillId="0" borderId="0" xfId="1" applyFont="1"/>
    <xf numFmtId="0" fontId="8" fillId="0" borderId="6" xfId="0" applyFont="1" applyBorder="1" applyAlignment="1">
      <alignment horizontal="center"/>
    </xf>
    <xf numFmtId="0" fontId="8" fillId="0" borderId="2" xfId="0" applyFont="1" applyBorder="1" applyAlignment="1">
      <alignment horizontal="center"/>
    </xf>
    <xf numFmtId="44" fontId="8" fillId="0" borderId="2" xfId="1" applyFont="1" applyBorder="1" applyAlignment="1">
      <alignment horizontal="center"/>
    </xf>
    <xf numFmtId="0" fontId="9" fillId="0" borderId="5" xfId="2" applyFont="1" applyBorder="1"/>
    <xf numFmtId="0" fontId="8" fillId="0" borderId="5" xfId="0" applyFont="1" applyBorder="1"/>
    <xf numFmtId="44" fontId="8" fillId="0" borderId="2" xfId="1" applyFont="1" applyFill="1" applyBorder="1" applyAlignment="1">
      <alignment horizontal="center"/>
    </xf>
    <xf numFmtId="0" fontId="6" fillId="0" borderId="9" xfId="0" applyFont="1" applyBorder="1" applyAlignment="1">
      <alignment horizontal="center"/>
    </xf>
    <xf numFmtId="0" fontId="6" fillId="0" borderId="3" xfId="0" applyFont="1" applyBorder="1" applyAlignment="1">
      <alignment horizontal="center"/>
    </xf>
    <xf numFmtId="44" fontId="6" fillId="0" borderId="3" xfId="1" applyFont="1" applyBorder="1" applyAlignment="1">
      <alignment horizontal="center"/>
    </xf>
    <xf numFmtId="0" fontId="6" fillId="0" borderId="8" xfId="0" applyFont="1" applyBorder="1" applyAlignment="1">
      <alignment horizontal="center"/>
    </xf>
    <xf numFmtId="165" fontId="0" fillId="0" borderId="2" xfId="0" applyNumberFormat="1" applyBorder="1" applyAlignment="1">
      <alignment horizontal="center"/>
    </xf>
    <xf numFmtId="164" fontId="0" fillId="0" borderId="0" xfId="0" applyNumberFormat="1"/>
    <xf numFmtId="2" fontId="0" fillId="0" borderId="0" xfId="0" applyNumberFormat="1"/>
    <xf numFmtId="1" fontId="0" fillId="0" borderId="0" xfId="0" applyNumberFormat="1"/>
  </cellXfs>
  <cellStyles count="3">
    <cellStyle name="Currency" xfId="1" builtinId="4"/>
    <cellStyle name="Hyperlink" xfId="2" builtinId="8"/>
    <cellStyle name="Normal" xfId="0" builtinId="0"/>
  </cellStyles>
  <dxfs count="33">
    <dxf>
      <alignment horizontal="center" vertical="bottom" textRotation="0" wrapText="0" indent="0" justifyLastLine="0" shrinkToFit="0" readingOrder="0"/>
      <border diagonalUp="0" diagonalDown="0" outline="0">
        <left style="thin">
          <color auto="1"/>
        </left>
        <right/>
        <top/>
        <bottom/>
      </border>
    </dxf>
    <dxf>
      <alignment horizontal="center" vertical="bottom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alignment horizontal="center" vertical="bottom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alignment horizontal="center" vertical="bottom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alignment horizontal="center" vertical="bottom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alignment horizontal="center" vertical="bottom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alignment horizontal="center" vertical="bottom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alignment horizontal="center" vertical="bottom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alignment horizontal="center" vertical="bottom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alignment horizontal="center" vertical="bottom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alignment horizontal="center" vertical="bottom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alignment horizontal="center" vertical="bottom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alignment horizontal="center" vertical="bottom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alignment horizontal="center" vertical="bottom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alignment horizontal="center" vertical="bottom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alignment horizontal="center" vertical="bottom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alignment horizontal="center" vertical="bottom" textRotation="0" wrapText="0" indent="0" justifyLastLine="0" shrinkToFit="0" readingOrder="0"/>
      <border diagonalUp="0" diagonalDown="0" outline="0">
        <left/>
        <right style="thin">
          <color auto="1"/>
        </right>
        <top/>
        <bottom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font>
        <strike val="0"/>
        <outline val="0"/>
        <shadow val="0"/>
        <vertAlign val="baseline"/>
        <sz val="12"/>
        <color auto="1"/>
        <name val="Tahoma"/>
        <family val="2"/>
        <scheme val="none"/>
      </font>
      <border diagonalUp="0" diagonalDown="0">
        <left style="thin">
          <color auto="1"/>
        </left>
        <right/>
        <top/>
        <bottom/>
        <vertical style="thin">
          <color auto="1"/>
        </vertical>
        <horizontal/>
      </border>
    </dxf>
    <dxf>
      <font>
        <strike val="0"/>
        <outline val="0"/>
        <shadow val="0"/>
        <vertAlign val="baseline"/>
        <sz val="12"/>
        <color auto="1"/>
        <name val="Tahoma"/>
        <family val="2"/>
        <scheme val="none"/>
      </font>
      <alignment horizontal="center" vertical="bottom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/>
        <bottom/>
        <vertical style="thin">
          <color auto="1"/>
        </vertical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Tahoma"/>
        <family val="2"/>
        <scheme val="none"/>
      </font>
      <alignment horizontal="center" vertical="bottom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/>
        <bottom/>
        <vertical style="thin">
          <color auto="1"/>
        </vertical>
        <horizontal/>
      </border>
    </dxf>
    <dxf>
      <font>
        <strike val="0"/>
        <outline val="0"/>
        <shadow val="0"/>
        <vertAlign val="baseline"/>
        <sz val="12"/>
        <color auto="1"/>
        <name val="Tahoma"/>
        <family val="2"/>
        <scheme val="none"/>
      </font>
      <alignment horizontal="center" vertical="bottom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/>
        <bottom/>
        <vertical style="thin">
          <color auto="1"/>
        </vertical>
        <horizontal/>
      </border>
    </dxf>
    <dxf>
      <font>
        <strike val="0"/>
        <outline val="0"/>
        <shadow val="0"/>
        <vertAlign val="baseline"/>
        <sz val="12"/>
        <color auto="1"/>
        <name val="Tahoma"/>
        <family val="2"/>
        <scheme val="none"/>
      </font>
      <alignment horizontal="center" vertical="bottom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/>
        <bottom/>
        <vertical style="thin">
          <color auto="1"/>
        </vertical>
        <horizontal/>
      </border>
    </dxf>
    <dxf>
      <font>
        <strike val="0"/>
        <outline val="0"/>
        <shadow val="0"/>
        <vertAlign val="baseline"/>
        <sz val="12"/>
        <color auto="1"/>
        <name val="Tahoma"/>
        <family val="2"/>
        <scheme val="none"/>
      </font>
      <alignment horizontal="center" vertical="bottom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/>
        <bottom/>
        <vertical style="thin">
          <color auto="1"/>
        </vertical>
        <horizontal/>
      </border>
    </dxf>
    <dxf>
      <font>
        <strike val="0"/>
        <outline val="0"/>
        <shadow val="0"/>
        <vertAlign val="baseline"/>
        <sz val="12"/>
        <color auto="1"/>
        <name val="Tahoma"/>
        <family val="2"/>
        <scheme val="none"/>
      </font>
      <alignment horizontal="center" vertical="bottom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/>
        <bottom/>
        <vertical style="thin">
          <color auto="1"/>
        </vertical>
        <horizontal/>
      </border>
    </dxf>
    <dxf>
      <font>
        <strike val="0"/>
        <outline val="0"/>
        <shadow val="0"/>
        <vertAlign val="baseline"/>
        <sz val="12"/>
        <color auto="1"/>
        <name val="Tahoma"/>
        <family val="2"/>
        <scheme val="none"/>
      </font>
      <alignment horizontal="center" vertical="bottom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/>
        <bottom/>
        <vertical style="thin">
          <color auto="1"/>
        </vertical>
        <horizontal/>
      </border>
    </dxf>
    <dxf>
      <font>
        <strike val="0"/>
        <outline val="0"/>
        <shadow val="0"/>
        <vertAlign val="baseline"/>
        <sz val="12"/>
        <color auto="1"/>
        <name val="Tahoma"/>
        <family val="2"/>
        <scheme val="none"/>
      </font>
      <alignment horizontal="center" vertical="bottom" textRotation="0" wrapText="0" indent="0" justifyLastLine="0" shrinkToFit="0" readingOrder="0"/>
      <border diagonalUp="0" diagonalDown="0">
        <left/>
        <right style="thin">
          <color auto="1"/>
        </right>
        <top/>
        <bottom/>
        <vertical style="thin">
          <color auto="1"/>
        </vertical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strike val="0"/>
        <outline val="0"/>
        <shadow val="0"/>
        <vertAlign val="baseline"/>
        <sz val="12"/>
        <color auto="1"/>
        <name val="Tahoma"/>
        <family val="2"/>
        <scheme val="none"/>
      </font>
    </dxf>
    <dxf>
      <border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Tahoma"/>
        <family val="2"/>
        <scheme val="none"/>
      </font>
      <alignment horizontal="center" vertical="bottom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/>
        <bottom/>
        <vertical style="thin">
          <color auto="1"/>
        </vertical>
        <horizontal/>
      </border>
    </dxf>
  </dxfs>
  <tableStyles count="1" defaultTableStyle="TableStyleMedium2" defaultPivotStyle="PivotStyleLight16">
    <tableStyle name="Table Style 1" pivot="0" count="0" xr9:uid="{0FA405A4-29F9-4F2E-BD68-FACE89AE6F65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Math!$K$45:$K$68</c:f>
              <c:numCache>
                <c:formatCode>0.00</c:formatCode>
                <c:ptCount val="24"/>
                <c:pt idx="0">
                  <c:v>4.1444490856944602</c:v>
                </c:pt>
                <c:pt idx="1">
                  <c:v>4.0994927776762502</c:v>
                </c:pt>
                <c:pt idx="2">
                  <c:v>4.0545364696580304</c:v>
                </c:pt>
                <c:pt idx="3">
                  <c:v>4.0218713520085601</c:v>
                </c:pt>
                <c:pt idx="4">
                  <c:v>3.9687748716093401</c:v>
                </c:pt>
                <c:pt idx="5">
                  <c:v>3.9279486959537802</c:v>
                </c:pt>
                <c:pt idx="6">
                  <c:v>3.8625923536234601</c:v>
                </c:pt>
                <c:pt idx="7">
                  <c:v>3.8258806461117301</c:v>
                </c:pt>
                <c:pt idx="8">
                  <c:v>3.79330951377518</c:v>
                </c:pt>
                <c:pt idx="9">
                  <c:v>3.74845241247617</c:v>
                </c:pt>
                <c:pt idx="10">
                  <c:v>3.72815158488328</c:v>
                </c:pt>
                <c:pt idx="11">
                  <c:v>3.7078820857280301</c:v>
                </c:pt>
                <c:pt idx="12">
                  <c:v>3.69583108004788</c:v>
                </c:pt>
                <c:pt idx="13">
                  <c:v>3.66744229413673</c:v>
                </c:pt>
                <c:pt idx="14">
                  <c:v>3.66769292163788</c:v>
                </c:pt>
                <c:pt idx="15">
                  <c:v>3.6638395238077401</c:v>
                </c:pt>
                <c:pt idx="16">
                  <c:v>3.6518355107840601</c:v>
                </c:pt>
                <c:pt idx="17">
                  <c:v>3.6110772134100602</c:v>
                </c:pt>
                <c:pt idx="18">
                  <c:v>3.5661887836733999</c:v>
                </c:pt>
                <c:pt idx="19">
                  <c:v>3.5172276570431098</c:v>
                </c:pt>
                <c:pt idx="20">
                  <c:v>3.3904414699004501</c:v>
                </c:pt>
                <c:pt idx="21">
                  <c:v>3.2677332010577</c:v>
                </c:pt>
                <c:pt idx="22">
                  <c:v>3.12864538073375</c:v>
                </c:pt>
                <c:pt idx="23">
                  <c:v>2.9895471175972501</c:v>
                </c:pt>
              </c:numCache>
            </c:numRef>
          </c:xVal>
          <c:yVal>
            <c:numRef>
              <c:f>Math!$L$45:$L$68</c:f>
              <c:numCache>
                <c:formatCode>0.00</c:formatCode>
                <c:ptCount val="24"/>
                <c:pt idx="0">
                  <c:v>0.28866917542809101</c:v>
                </c:pt>
                <c:pt idx="1">
                  <c:v>2.42661127003251</c:v>
                </c:pt>
                <c:pt idx="2">
                  <c:v>4.5645533646369199</c:v>
                </c:pt>
                <c:pt idx="3">
                  <c:v>7.0099616972553997</c:v>
                </c:pt>
                <c:pt idx="4">
                  <c:v>10.5245648517307</c:v>
                </c:pt>
                <c:pt idx="5">
                  <c:v>13.734387062847</c:v>
                </c:pt>
                <c:pt idx="6">
                  <c:v>17.859894751367801</c:v>
                </c:pt>
                <c:pt idx="7">
                  <c:v>21.682411692966301</c:v>
                </c:pt>
                <c:pt idx="8">
                  <c:v>26.8829323417634</c:v>
                </c:pt>
                <c:pt idx="9">
                  <c:v>31.9290485478896</c:v>
                </c:pt>
                <c:pt idx="10">
                  <c:v>36.824788253327696</c:v>
                </c:pt>
                <c:pt idx="11">
                  <c:v>42.638898730825296</c:v>
                </c:pt>
                <c:pt idx="12">
                  <c:v>49.372275078600801</c:v>
                </c:pt>
                <c:pt idx="13">
                  <c:v>57.175293797342199</c:v>
                </c:pt>
                <c:pt idx="14">
                  <c:v>64.522259973818294</c:v>
                </c:pt>
                <c:pt idx="15">
                  <c:v>71.562655010498702</c:v>
                </c:pt>
                <c:pt idx="16">
                  <c:v>79.673587516363497</c:v>
                </c:pt>
                <c:pt idx="17">
                  <c:v>84.8732130669421</c:v>
                </c:pt>
                <c:pt idx="18">
                  <c:v>89.000958501008796</c:v>
                </c:pt>
                <c:pt idx="19">
                  <c:v>93.740503567339303</c:v>
                </c:pt>
                <c:pt idx="20">
                  <c:v>97.093989042505996</c:v>
                </c:pt>
                <c:pt idx="21">
                  <c:v>99.988736680751998</c:v>
                </c:pt>
                <c:pt idx="22">
                  <c:v>102.72863232721799</c:v>
                </c:pt>
                <c:pt idx="23">
                  <c:v>105.162404382997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5724-489F-B5A1-5E59237A017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99680304"/>
        <c:axId val="799678384"/>
      </c:scatterChart>
      <c:valAx>
        <c:axId val="799680304"/>
        <c:scaling>
          <c:orientation val="minMax"/>
        </c:scaling>
        <c:delete val="0"/>
        <c:axPos val="b"/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99678384"/>
        <c:crosses val="autoZero"/>
        <c:crossBetween val="midCat"/>
      </c:valAx>
      <c:valAx>
        <c:axId val="79967838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9968030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4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10</xdr:col>
      <xdr:colOff>581025</xdr:colOff>
      <xdr:row>1</xdr:row>
      <xdr:rowOff>171450</xdr:rowOff>
    </xdr:from>
    <xdr:to>
      <xdr:col>23</xdr:col>
      <xdr:colOff>151458</xdr:colOff>
      <xdr:row>33</xdr:row>
      <xdr:rowOff>27831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720044FB-9D4E-550B-FC62-566A12924E5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677025" y="361950"/>
          <a:ext cx="7533333" cy="5952381"/>
        </a:xfrm>
        <a:prstGeom prst="rect">
          <a:avLst/>
        </a:prstGeom>
      </xdr:spPr>
    </xdr:pic>
    <xdr:clientData/>
  </xdr:twoCellAnchor>
  <xdr:twoCellAnchor editAs="oneCell">
    <xdr:from>
      <xdr:col>25</xdr:col>
      <xdr:colOff>0</xdr:colOff>
      <xdr:row>2</xdr:row>
      <xdr:rowOff>0</xdr:rowOff>
    </xdr:from>
    <xdr:to>
      <xdr:col>32</xdr:col>
      <xdr:colOff>342324</xdr:colOff>
      <xdr:row>23</xdr:row>
      <xdr:rowOff>151881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6F41AD54-E56A-A87E-D432-4D7E410345F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6705600" y="6858000"/>
          <a:ext cx="4609524" cy="4152381"/>
        </a:xfrm>
        <a:prstGeom prst="rect">
          <a:avLst/>
        </a:prstGeom>
      </xdr:spPr>
    </xdr:pic>
    <xdr:clientData/>
  </xdr:twoCellAnchor>
  <xdr:twoCellAnchor>
    <xdr:from>
      <xdr:col>7</xdr:col>
      <xdr:colOff>514350</xdr:colOff>
      <xdr:row>4</xdr:row>
      <xdr:rowOff>142875</xdr:rowOff>
    </xdr:from>
    <xdr:to>
      <xdr:col>16</xdr:col>
      <xdr:colOff>428625</xdr:colOff>
      <xdr:row>25</xdr:row>
      <xdr:rowOff>133350</xdr:rowOff>
    </xdr:to>
    <xdr:cxnSp macro="">
      <xdr:nvCxnSpPr>
        <xdr:cNvPr id="6" name="Straight Arrow Connector 5">
          <a:extLst>
            <a:ext uri="{FF2B5EF4-FFF2-40B4-BE49-F238E27FC236}">
              <a16:creationId xmlns:a16="http://schemas.microsoft.com/office/drawing/2014/main" id="{94D7FFAF-F501-0986-01E2-A4AA1AFF54D8}"/>
            </a:ext>
          </a:extLst>
        </xdr:cNvPr>
        <xdr:cNvCxnSpPr/>
      </xdr:nvCxnSpPr>
      <xdr:spPr>
        <a:xfrm>
          <a:off x="4895850" y="904875"/>
          <a:ext cx="5400675" cy="3990975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 editAs="oneCell">
    <xdr:from>
      <xdr:col>16</xdr:col>
      <xdr:colOff>503770</xdr:colOff>
      <xdr:row>34</xdr:row>
      <xdr:rowOff>115711</xdr:rowOff>
    </xdr:from>
    <xdr:to>
      <xdr:col>21</xdr:col>
      <xdr:colOff>65264</xdr:colOff>
      <xdr:row>55</xdr:row>
      <xdr:rowOff>151345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43F10F0-9724-D507-AC7D-525F472544B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 rot="16200000" flipV="1">
          <a:off x="9658350" y="7306031"/>
          <a:ext cx="4036134" cy="2609494"/>
        </a:xfrm>
        <a:prstGeom prst="rect">
          <a:avLst/>
        </a:prstGeom>
      </xdr:spPr>
    </xdr:pic>
    <xdr:clientData/>
  </xdr:twoCellAnchor>
  <xdr:twoCellAnchor>
    <xdr:from>
      <xdr:col>24</xdr:col>
      <xdr:colOff>361950</xdr:colOff>
      <xdr:row>35</xdr:row>
      <xdr:rowOff>61912</xdr:rowOff>
    </xdr:from>
    <xdr:to>
      <xdr:col>32</xdr:col>
      <xdr:colOff>57150</xdr:colOff>
      <xdr:row>49</xdr:row>
      <xdr:rowOff>138112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0FA1FCA0-C671-2296-76B0-EA3BCF27A85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F875B8B-340B-40CB-BD49-2ED660196E2B}" name="Table1" displayName="Table1" ref="B2:J22" totalsRowShown="0" headerRowDxfId="32" dataDxfId="30" headerRowBorderDxfId="31" tableBorderDxfId="29">
  <autoFilter ref="B2:J22" xr:uid="{5F875B8B-340B-40CB-BD49-2ED660196E2B}"/>
  <sortState xmlns:xlrd2="http://schemas.microsoft.com/office/spreadsheetml/2017/richdata2" ref="B3:J15">
    <sortCondition ref="B2:B15"/>
  </sortState>
  <tableColumns count="9">
    <tableColumn id="1" xr3:uid="{63D33BDA-CDB6-406E-9542-74C72330FFE7}" name="Index" dataDxfId="28"/>
    <tableColumn id="2" xr3:uid="{C11F4ED7-F654-4000-8FE5-7F7F78A9CC23}" name="Item" dataDxfId="27"/>
    <tableColumn id="9" xr3:uid="{2A73A2A3-326A-46F6-B008-BC7209351DF5}" name="Added?" dataDxfId="26"/>
    <tableColumn id="3" xr3:uid="{43E1388A-9A47-4270-8D95-5DAB8EEB5C98}" name="Acquired" dataDxfId="25"/>
    <tableColumn id="4" xr3:uid="{ECFAD228-AFD7-4089-BBEF-3B76C8ED16D3}" name="Board Count" dataDxfId="24"/>
    <tableColumn id="5" xr3:uid="{A391AA9A-2736-457B-ACEF-2AF43BD07714}" name="Purchase Amount" dataDxfId="23">
      <calculatedColumnFormula>F3*15</calculatedColumnFormula>
    </tableColumn>
    <tableColumn id="6" xr3:uid="{403CC425-E277-4465-8F64-A609F52AC5F9}" name="Unit Price" dataDxfId="22" dataCellStyle="Currency"/>
    <tableColumn id="7" xr3:uid="{3EB62525-E5E4-49DC-BF5E-1E259F7C741F}" name="Max Price" dataDxfId="21" dataCellStyle="Currency">
      <calculatedColumnFormula>H3*G3</calculatedColumnFormula>
    </tableColumn>
    <tableColumn id="8" xr3:uid="{FC499A18-5CC0-4737-A28D-08FFE478FD5E}" name="Link" dataDxfId="20"/>
  </tableColumns>
  <tableStyleInfo name="Table Style 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2005B0A-3599-403B-A9F1-67AD927B2DA7}" name="Table15" displayName="Table15" ref="B5:R206" totalsRowShown="0" headerRowDxfId="19" dataDxfId="18" tableBorderDxfId="17">
  <autoFilter ref="B5:R206" xr:uid="{58264688-3865-4782-9A70-009A39C8F454}"/>
  <tableColumns count="17">
    <tableColumn id="1" xr3:uid="{AA19D35E-3785-49AE-A26C-83E80E6966A2}" name="LED\NET" dataDxfId="16"/>
    <tableColumn id="2" xr3:uid="{109E106D-C958-4DA9-91C3-B22ACBA9543F}" name="1" dataDxfId="15"/>
    <tableColumn id="3" xr3:uid="{D86FCCE5-8AA5-4E09-9F54-321941353303}" name="2" dataDxfId="14"/>
    <tableColumn id="4" xr3:uid="{B772412E-5CEF-452F-BBCE-618D0B5878B2}" name="3" dataDxfId="13"/>
    <tableColumn id="5" xr3:uid="{AAA21CAE-5015-48F0-AB8F-8419D22FE09D}" name="4" dataDxfId="12"/>
    <tableColumn id="6" xr3:uid="{7FFC56BC-5441-4F47-BFED-67D91DAD6D61}" name="5" dataDxfId="11"/>
    <tableColumn id="7" xr3:uid="{D1079A3A-9756-42F7-9A0D-897121BE9B7D}" name="6" dataDxfId="10"/>
    <tableColumn id="8" xr3:uid="{0BF0A821-D6F0-442A-BD6B-F0B195B2FA97}" name="7" dataDxfId="9"/>
    <tableColumn id="9" xr3:uid="{0C192674-A6F4-4C28-9FAF-5A452D15D3B8}" name="8" dataDxfId="8"/>
    <tableColumn id="10" xr3:uid="{47C85327-AED8-4B13-BCEA-63660179BFDB}" name="9" dataDxfId="7"/>
    <tableColumn id="11" xr3:uid="{B2450332-8C50-4900-B7C5-9F6320F4B5D8}" name="10" dataDxfId="6"/>
    <tableColumn id="12" xr3:uid="{6707C414-32E0-45E2-8B01-756DAB7C3C7F}" name="11" dataDxfId="5"/>
    <tableColumn id="13" xr3:uid="{B28386EA-1923-43C5-9A52-FE182FE09C46}" name="12" dataDxfId="4"/>
    <tableColumn id="14" xr3:uid="{4B89B083-BD25-4DF4-A2AA-D4E133541A33}" name="13" dataDxfId="3"/>
    <tableColumn id="15" xr3:uid="{8D659A80-CB90-4404-8FD1-7C0A68E90162}" name="14" dataDxfId="2"/>
    <tableColumn id="16" xr3:uid="{3D79F4F0-D193-4E1F-90F1-3CD1AF69EFC5}" name="15" dataDxfId="1"/>
    <tableColumn id="17" xr3:uid="{561F49F1-969D-4863-B381-BB2535B46E93}" name="16" dataDxfId="0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2.bin"/><Relationship Id="rId2" Type="http://schemas.openxmlformats.org/officeDocument/2006/relationships/hyperlink" Target="https://www.digikey.co.nz/en/products/detail/koa-speer-electronics-inc/RN73H1JTTD5052F50/10689137?srsltid=AfmBOopWHDrcfCTLSDiWgPHwzQPnCBM5AwF3WEe8fpWut4A0kQZ9nn5g" TargetMode="External"/><Relationship Id="rId1" Type="http://schemas.openxmlformats.org/officeDocument/2006/relationships/hyperlink" Target="https://www.digikey.com/en/products/detail/murata-electronics/GRM21BC81E106ME51K/10694904" TargetMode="External"/><Relationship Id="rId4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B2:I83"/>
  <sheetViews>
    <sheetView topLeftCell="A49" zoomScale="70" zoomScaleNormal="70" workbookViewId="0">
      <selection activeCell="C82" sqref="C82"/>
    </sheetView>
  </sheetViews>
  <sheetFormatPr defaultRowHeight="15" x14ac:dyDescent="0.25"/>
  <cols>
    <col min="2" max="2" width="15.42578125" bestFit="1" customWidth="1"/>
    <col min="3" max="3" width="34.85546875" bestFit="1" customWidth="1"/>
    <col min="4" max="4" width="30.42578125" bestFit="1" customWidth="1"/>
    <col min="5" max="5" width="23.5703125" customWidth="1"/>
    <col min="6" max="6" width="16.7109375" style="8" customWidth="1"/>
    <col min="7" max="7" width="19.28515625" bestFit="1" customWidth="1"/>
    <col min="8" max="8" width="15.42578125" bestFit="1" customWidth="1"/>
    <col min="9" max="9" width="32.140625" bestFit="1" customWidth="1"/>
    <col min="10" max="10" width="31.7109375" bestFit="1" customWidth="1"/>
    <col min="11" max="11" width="21.85546875" customWidth="1"/>
    <col min="12" max="12" width="20" customWidth="1"/>
  </cols>
  <sheetData>
    <row r="2" spans="2:9" x14ac:dyDescent="0.25">
      <c r="B2" s="9" t="s">
        <v>21</v>
      </c>
      <c r="C2" s="8" t="s">
        <v>7</v>
      </c>
    </row>
    <row r="3" spans="2:9" x14ac:dyDescent="0.25">
      <c r="B3" s="9" t="s">
        <v>22</v>
      </c>
      <c r="C3" s="8" t="s">
        <v>24</v>
      </c>
    </row>
    <row r="4" spans="2:9" x14ac:dyDescent="0.25">
      <c r="B4" s="9" t="s">
        <v>23</v>
      </c>
      <c r="C4" s="8" t="s">
        <v>25</v>
      </c>
      <c r="D4" s="6"/>
    </row>
    <row r="5" spans="2:9" x14ac:dyDescent="0.25">
      <c r="B5" s="1" t="s">
        <v>6</v>
      </c>
      <c r="C5" s="1" t="s">
        <v>27</v>
      </c>
      <c r="D5" s="1" t="s">
        <v>29</v>
      </c>
      <c r="E5" s="1" t="s">
        <v>30</v>
      </c>
      <c r="F5" s="1" t="s">
        <v>5</v>
      </c>
      <c r="G5" s="1" t="s">
        <v>78</v>
      </c>
    </row>
    <row r="6" spans="2:9" x14ac:dyDescent="0.25">
      <c r="B6" s="2">
        <v>1</v>
      </c>
      <c r="C6" s="3" t="s">
        <v>26</v>
      </c>
      <c r="D6" s="8" t="s">
        <v>8</v>
      </c>
      <c r="E6" s="2">
        <v>4</v>
      </c>
      <c r="F6" s="2" t="s">
        <v>51</v>
      </c>
      <c r="G6" s="2"/>
    </row>
    <row r="7" spans="2:9" x14ac:dyDescent="0.25">
      <c r="B7" s="2">
        <v>1</v>
      </c>
      <c r="C7" s="3" t="s">
        <v>26</v>
      </c>
      <c r="D7" s="2" t="s">
        <v>79</v>
      </c>
      <c r="E7" s="2" t="s">
        <v>0</v>
      </c>
      <c r="F7" s="2" t="s">
        <v>51</v>
      </c>
      <c r="G7" s="2"/>
      <c r="I7" s="8"/>
    </row>
    <row r="8" spans="2:9" x14ac:dyDescent="0.25">
      <c r="B8" s="2">
        <v>2</v>
      </c>
      <c r="C8" s="3" t="s">
        <v>31</v>
      </c>
      <c r="D8" s="2" t="s">
        <v>80</v>
      </c>
      <c r="E8" s="12" t="s">
        <v>81</v>
      </c>
      <c r="F8" s="2" t="s">
        <v>51</v>
      </c>
      <c r="G8" s="2"/>
      <c r="I8" s="8"/>
    </row>
    <row r="9" spans="2:9" x14ac:dyDescent="0.25">
      <c r="B9" s="2">
        <v>3</v>
      </c>
      <c r="C9" s="3" t="s">
        <v>82</v>
      </c>
      <c r="D9" s="2">
        <v>27</v>
      </c>
      <c r="E9" s="2">
        <v>27</v>
      </c>
      <c r="F9" s="2" t="s">
        <v>51</v>
      </c>
      <c r="G9" s="2"/>
      <c r="I9" s="8"/>
    </row>
    <row r="10" spans="2:9" x14ac:dyDescent="0.25">
      <c r="B10" s="4">
        <v>4</v>
      </c>
      <c r="C10" s="5" t="s">
        <v>84</v>
      </c>
      <c r="D10" s="13" t="s">
        <v>81</v>
      </c>
      <c r="E10" s="13" t="s">
        <v>81</v>
      </c>
      <c r="F10" s="4" t="s">
        <v>51</v>
      </c>
      <c r="G10" s="4"/>
      <c r="I10" s="8"/>
    </row>
    <row r="11" spans="2:9" x14ac:dyDescent="0.25">
      <c r="I11" s="8"/>
    </row>
    <row r="12" spans="2:9" x14ac:dyDescent="0.25">
      <c r="B12" s="9" t="s">
        <v>21</v>
      </c>
      <c r="C12" s="8" t="s">
        <v>8</v>
      </c>
      <c r="I12" s="8"/>
    </row>
    <row r="13" spans="2:9" x14ac:dyDescent="0.25">
      <c r="B13" s="9" t="s">
        <v>22</v>
      </c>
      <c r="C13" s="8" t="s">
        <v>1</v>
      </c>
      <c r="I13" s="8"/>
    </row>
    <row r="14" spans="2:9" x14ac:dyDescent="0.25">
      <c r="B14" s="9" t="s">
        <v>23</v>
      </c>
      <c r="C14" s="8" t="s">
        <v>85</v>
      </c>
      <c r="D14" s="6"/>
      <c r="I14" s="8"/>
    </row>
    <row r="15" spans="2:9" x14ac:dyDescent="0.25">
      <c r="B15" s="1" t="s">
        <v>6</v>
      </c>
      <c r="C15" s="1" t="s">
        <v>27</v>
      </c>
      <c r="D15" s="1" t="s">
        <v>29</v>
      </c>
      <c r="E15" s="1" t="s">
        <v>30</v>
      </c>
      <c r="F15" s="1" t="s">
        <v>5</v>
      </c>
      <c r="G15" s="1" t="s">
        <v>78</v>
      </c>
      <c r="I15" s="11"/>
    </row>
    <row r="16" spans="2:9" x14ac:dyDescent="0.25">
      <c r="B16" s="2">
        <v>1</v>
      </c>
      <c r="C16" s="3" t="s">
        <v>86</v>
      </c>
      <c r="D16" s="8" t="s">
        <v>87</v>
      </c>
      <c r="E16" s="2">
        <v>1</v>
      </c>
      <c r="F16" s="2" t="s">
        <v>51</v>
      </c>
      <c r="G16" s="2"/>
      <c r="I16" s="11"/>
    </row>
    <row r="17" spans="2:9" x14ac:dyDescent="0.25">
      <c r="B17" s="2">
        <v>1</v>
      </c>
      <c r="C17" s="3" t="s">
        <v>86</v>
      </c>
      <c r="D17" s="2" t="s">
        <v>83</v>
      </c>
      <c r="E17" s="2" t="s">
        <v>88</v>
      </c>
      <c r="F17" s="2" t="s">
        <v>51</v>
      </c>
      <c r="G17" s="2"/>
      <c r="I17" s="8"/>
    </row>
    <row r="18" spans="2:9" x14ac:dyDescent="0.25">
      <c r="B18" s="2">
        <v>2</v>
      </c>
      <c r="C18" s="3" t="s">
        <v>89</v>
      </c>
      <c r="D18" s="2" t="s">
        <v>80</v>
      </c>
      <c r="E18" s="12" t="s">
        <v>81</v>
      </c>
      <c r="F18" s="2" t="s">
        <v>51</v>
      </c>
      <c r="G18" s="2"/>
      <c r="I18" s="8"/>
    </row>
    <row r="19" spans="2:9" x14ac:dyDescent="0.25">
      <c r="B19" s="2">
        <v>3</v>
      </c>
      <c r="C19" s="3" t="s">
        <v>90</v>
      </c>
      <c r="D19" s="2" t="s">
        <v>91</v>
      </c>
      <c r="E19" s="2">
        <v>1</v>
      </c>
      <c r="F19" s="2" t="s">
        <v>51</v>
      </c>
      <c r="G19" s="2"/>
      <c r="I19" s="8"/>
    </row>
    <row r="20" spans="2:9" x14ac:dyDescent="0.25">
      <c r="B20" s="2">
        <v>3</v>
      </c>
      <c r="C20" s="3" t="s">
        <v>90</v>
      </c>
      <c r="D20" s="2" t="s">
        <v>92</v>
      </c>
      <c r="E20" s="2" t="s">
        <v>93</v>
      </c>
      <c r="F20" s="2" t="s">
        <v>51</v>
      </c>
      <c r="G20" s="2"/>
      <c r="I20" s="8"/>
    </row>
    <row r="21" spans="2:9" x14ac:dyDescent="0.25">
      <c r="B21" s="2">
        <v>3</v>
      </c>
      <c r="C21" s="3" t="s">
        <v>90</v>
      </c>
      <c r="D21" s="2" t="s">
        <v>94</v>
      </c>
      <c r="E21" s="2">
        <v>1</v>
      </c>
      <c r="F21" s="2" t="s">
        <v>51</v>
      </c>
      <c r="G21" s="2"/>
    </row>
    <row r="22" spans="2:9" x14ac:dyDescent="0.25">
      <c r="B22" s="2">
        <v>3</v>
      </c>
      <c r="C22" s="3" t="s">
        <v>90</v>
      </c>
      <c r="D22" s="2" t="s">
        <v>28</v>
      </c>
      <c r="E22" s="2">
        <v>1</v>
      </c>
      <c r="F22" s="2" t="s">
        <v>51</v>
      </c>
      <c r="G22" s="2"/>
    </row>
    <row r="23" spans="2:9" x14ac:dyDescent="0.25">
      <c r="B23" s="2">
        <v>4</v>
      </c>
      <c r="C23" s="3" t="s">
        <v>97</v>
      </c>
      <c r="D23" s="8" t="s">
        <v>7</v>
      </c>
      <c r="E23" s="2">
        <v>1</v>
      </c>
      <c r="F23" s="2" t="s">
        <v>51</v>
      </c>
      <c r="G23" s="2"/>
    </row>
    <row r="24" spans="2:9" x14ac:dyDescent="0.25">
      <c r="B24" s="2">
        <v>4</v>
      </c>
      <c r="C24" s="3" t="s">
        <v>97</v>
      </c>
      <c r="D24" s="2" t="s">
        <v>79</v>
      </c>
      <c r="E24" s="2" t="s">
        <v>0</v>
      </c>
      <c r="F24" s="2" t="s">
        <v>51</v>
      </c>
      <c r="G24" s="2"/>
    </row>
    <row r="25" spans="2:9" x14ac:dyDescent="0.25">
      <c r="B25" s="4">
        <v>5</v>
      </c>
      <c r="C25" s="5" t="s">
        <v>98</v>
      </c>
      <c r="D25" s="4" t="s">
        <v>32</v>
      </c>
      <c r="E25" s="4">
        <v>1</v>
      </c>
      <c r="F25" s="4" t="s">
        <v>51</v>
      </c>
      <c r="G25" s="4"/>
    </row>
    <row r="27" spans="2:9" x14ac:dyDescent="0.25">
      <c r="B27" s="9" t="s">
        <v>21</v>
      </c>
      <c r="C27" s="8" t="s">
        <v>94</v>
      </c>
    </row>
    <row r="28" spans="2:9" x14ac:dyDescent="0.25">
      <c r="B28" s="9" t="s">
        <v>22</v>
      </c>
      <c r="C28" s="8" t="s">
        <v>99</v>
      </c>
    </row>
    <row r="29" spans="2:9" x14ac:dyDescent="0.25">
      <c r="B29" s="9" t="s">
        <v>23</v>
      </c>
      <c r="C29" s="8" t="s">
        <v>100</v>
      </c>
      <c r="D29" s="6"/>
    </row>
    <row r="30" spans="2:9" x14ac:dyDescent="0.25">
      <c r="B30" s="1" t="s">
        <v>6</v>
      </c>
      <c r="C30" s="1" t="s">
        <v>27</v>
      </c>
      <c r="D30" s="1" t="s">
        <v>29</v>
      </c>
      <c r="E30" s="1" t="s">
        <v>30</v>
      </c>
      <c r="F30" s="1" t="s">
        <v>5</v>
      </c>
      <c r="G30" s="1" t="s">
        <v>78</v>
      </c>
    </row>
    <row r="31" spans="2:9" x14ac:dyDescent="0.25">
      <c r="B31" s="2">
        <v>1</v>
      </c>
      <c r="C31" s="3" t="s">
        <v>101</v>
      </c>
      <c r="D31" s="8" t="s">
        <v>8</v>
      </c>
      <c r="E31" s="2" t="s">
        <v>90</v>
      </c>
      <c r="F31" s="2" t="s">
        <v>51</v>
      </c>
      <c r="G31" s="2"/>
    </row>
    <row r="32" spans="2:9" x14ac:dyDescent="0.25">
      <c r="B32" s="2">
        <v>1</v>
      </c>
      <c r="C32" s="3" t="s">
        <v>101</v>
      </c>
      <c r="D32" s="2" t="s">
        <v>92</v>
      </c>
      <c r="E32" s="2" t="s">
        <v>93</v>
      </c>
      <c r="F32" s="2" t="s">
        <v>51</v>
      </c>
      <c r="G32" s="2"/>
    </row>
    <row r="33" spans="2:7" x14ac:dyDescent="0.25">
      <c r="B33" s="2">
        <v>1</v>
      </c>
      <c r="C33" s="3" t="s">
        <v>101</v>
      </c>
      <c r="D33" s="2" t="s">
        <v>28</v>
      </c>
      <c r="E33" s="2">
        <v>1</v>
      </c>
      <c r="F33" s="2" t="s">
        <v>51</v>
      </c>
      <c r="G33" s="2"/>
    </row>
    <row r="34" spans="2:7" x14ac:dyDescent="0.25">
      <c r="B34" s="2">
        <v>2</v>
      </c>
      <c r="C34" s="3" t="s">
        <v>89</v>
      </c>
      <c r="D34" s="2" t="s">
        <v>80</v>
      </c>
      <c r="E34" s="12" t="s">
        <v>81</v>
      </c>
      <c r="F34" s="2" t="s">
        <v>51</v>
      </c>
      <c r="G34" s="2"/>
    </row>
    <row r="35" spans="2:7" x14ac:dyDescent="0.25">
      <c r="B35" s="2">
        <v>3</v>
      </c>
      <c r="C35" s="3" t="s">
        <v>102</v>
      </c>
      <c r="D35" s="2" t="s">
        <v>79</v>
      </c>
      <c r="E35" s="2" t="s">
        <v>103</v>
      </c>
      <c r="F35" s="2" t="s">
        <v>51</v>
      </c>
      <c r="G35" s="2"/>
    </row>
    <row r="36" spans="2:7" x14ac:dyDescent="0.25">
      <c r="B36" s="2">
        <v>3</v>
      </c>
      <c r="C36" s="3" t="s">
        <v>102</v>
      </c>
      <c r="D36" s="2" t="s">
        <v>104</v>
      </c>
      <c r="E36" s="2" t="s">
        <v>103</v>
      </c>
      <c r="F36" s="2" t="s">
        <v>51</v>
      </c>
      <c r="G36" s="2"/>
    </row>
    <row r="37" spans="2:7" x14ac:dyDescent="0.25">
      <c r="B37" s="2">
        <v>4</v>
      </c>
      <c r="C37" s="3" t="s">
        <v>84</v>
      </c>
      <c r="D37" s="2" t="s">
        <v>81</v>
      </c>
      <c r="E37" s="2" t="s">
        <v>81</v>
      </c>
      <c r="F37" s="2" t="s">
        <v>51</v>
      </c>
      <c r="G37" s="2"/>
    </row>
    <row r="38" spans="2:7" x14ac:dyDescent="0.25">
      <c r="B38" s="2">
        <v>5</v>
      </c>
      <c r="C38" s="3" t="s">
        <v>105</v>
      </c>
      <c r="D38" s="8" t="s">
        <v>10</v>
      </c>
      <c r="E38" s="2">
        <v>1</v>
      </c>
      <c r="F38" s="2" t="s">
        <v>51</v>
      </c>
      <c r="G38" s="2"/>
    </row>
    <row r="39" spans="2:7" x14ac:dyDescent="0.25">
      <c r="B39" s="2">
        <v>5</v>
      </c>
      <c r="C39" s="3" t="s">
        <v>105</v>
      </c>
      <c r="D39" s="2" t="s">
        <v>106</v>
      </c>
      <c r="E39" s="2" t="s">
        <v>90</v>
      </c>
      <c r="F39" s="2" t="s">
        <v>51</v>
      </c>
      <c r="G39" s="2"/>
    </row>
    <row r="40" spans="2:7" x14ac:dyDescent="0.25">
      <c r="B40" s="2">
        <v>5</v>
      </c>
      <c r="C40" s="3" t="s">
        <v>105</v>
      </c>
      <c r="D40" s="2" t="s">
        <v>107</v>
      </c>
      <c r="E40" s="2">
        <v>2</v>
      </c>
      <c r="F40" s="2" t="s">
        <v>51</v>
      </c>
      <c r="G40" s="2"/>
    </row>
    <row r="41" spans="2:7" x14ac:dyDescent="0.25">
      <c r="B41" s="2">
        <v>5</v>
      </c>
      <c r="C41" s="3" t="s">
        <v>105</v>
      </c>
      <c r="D41" s="2" t="s">
        <v>108</v>
      </c>
      <c r="E41" s="2">
        <v>2</v>
      </c>
      <c r="F41" s="2" t="s">
        <v>51</v>
      </c>
      <c r="G41" s="2"/>
    </row>
    <row r="42" spans="2:7" x14ac:dyDescent="0.25">
      <c r="B42" s="2">
        <v>5</v>
      </c>
      <c r="C42" s="3" t="s">
        <v>105</v>
      </c>
      <c r="D42" s="2" t="s">
        <v>83</v>
      </c>
      <c r="E42" s="2">
        <v>28</v>
      </c>
      <c r="F42" s="2" t="s">
        <v>51</v>
      </c>
      <c r="G42" s="2"/>
    </row>
    <row r="43" spans="2:7" x14ac:dyDescent="0.25">
      <c r="B43" s="2">
        <v>5</v>
      </c>
      <c r="C43" s="3" t="s">
        <v>105</v>
      </c>
      <c r="D43" s="2" t="s">
        <v>83</v>
      </c>
      <c r="E43" s="2">
        <v>18</v>
      </c>
      <c r="F43" s="2" t="s">
        <v>51</v>
      </c>
      <c r="G43" s="2"/>
    </row>
    <row r="44" spans="2:7" x14ac:dyDescent="0.25">
      <c r="B44" s="2">
        <v>5</v>
      </c>
      <c r="C44" s="3" t="s">
        <v>105</v>
      </c>
      <c r="D44" s="2" t="s">
        <v>110</v>
      </c>
      <c r="E44" s="2">
        <v>1</v>
      </c>
      <c r="F44" s="2" t="s">
        <v>51</v>
      </c>
      <c r="G44" s="2"/>
    </row>
    <row r="45" spans="2:7" x14ac:dyDescent="0.25">
      <c r="B45" s="4">
        <v>5</v>
      </c>
      <c r="C45" s="5" t="s">
        <v>105</v>
      </c>
      <c r="D45" s="4" t="s">
        <v>87</v>
      </c>
      <c r="E45" s="4">
        <v>2</v>
      </c>
      <c r="F45" s="4" t="s">
        <v>51</v>
      </c>
      <c r="G45" s="4"/>
    </row>
    <row r="47" spans="2:7" x14ac:dyDescent="0.25">
      <c r="B47" s="9" t="s">
        <v>21</v>
      </c>
      <c r="C47" s="8" t="s">
        <v>83</v>
      </c>
    </row>
    <row r="48" spans="2:7" x14ac:dyDescent="0.25">
      <c r="B48" s="9" t="s">
        <v>22</v>
      </c>
      <c r="C48" s="8" t="s">
        <v>111</v>
      </c>
    </row>
    <row r="49" spans="2:7" x14ac:dyDescent="0.25">
      <c r="B49" s="9" t="s">
        <v>23</v>
      </c>
      <c r="C49" s="8" t="s">
        <v>112</v>
      </c>
      <c r="D49" s="6"/>
    </row>
    <row r="50" spans="2:7" x14ac:dyDescent="0.25">
      <c r="B50" s="1" t="s">
        <v>6</v>
      </c>
      <c r="C50" s="1" t="s">
        <v>27</v>
      </c>
      <c r="D50" s="1" t="s">
        <v>29</v>
      </c>
      <c r="E50" s="1" t="s">
        <v>30</v>
      </c>
      <c r="F50" s="1" t="s">
        <v>5</v>
      </c>
      <c r="G50" s="1" t="s">
        <v>78</v>
      </c>
    </row>
    <row r="51" spans="2:7" x14ac:dyDescent="0.25">
      <c r="B51" s="2">
        <v>1</v>
      </c>
      <c r="C51" s="3" t="s">
        <v>113</v>
      </c>
      <c r="D51" s="8" t="s">
        <v>106</v>
      </c>
      <c r="E51" s="2" t="s">
        <v>114</v>
      </c>
      <c r="F51" s="2" t="s">
        <v>51</v>
      </c>
      <c r="G51" s="2"/>
    </row>
    <row r="52" spans="2:7" x14ac:dyDescent="0.25">
      <c r="B52" s="2">
        <v>2</v>
      </c>
      <c r="C52" s="3" t="s">
        <v>115</v>
      </c>
      <c r="D52" s="2" t="s">
        <v>144</v>
      </c>
      <c r="E52" s="2" t="s">
        <v>0</v>
      </c>
      <c r="F52" s="2" t="s">
        <v>51</v>
      </c>
      <c r="G52" s="2"/>
    </row>
    <row r="53" spans="2:7" x14ac:dyDescent="0.25">
      <c r="B53" s="2">
        <v>3</v>
      </c>
      <c r="C53" s="3" t="s">
        <v>129</v>
      </c>
      <c r="D53" s="2" t="s">
        <v>144</v>
      </c>
      <c r="E53" s="2" t="s">
        <v>116</v>
      </c>
      <c r="F53" s="2" t="s">
        <v>51</v>
      </c>
      <c r="G53" s="2"/>
    </row>
    <row r="54" spans="2:7" x14ac:dyDescent="0.25">
      <c r="B54" s="2">
        <v>4</v>
      </c>
      <c r="C54" s="3" t="s">
        <v>130</v>
      </c>
      <c r="D54" s="2" t="s">
        <v>144</v>
      </c>
      <c r="E54" s="2" t="s">
        <v>103</v>
      </c>
      <c r="F54" s="2" t="s">
        <v>51</v>
      </c>
      <c r="G54" s="2"/>
    </row>
    <row r="55" spans="2:7" x14ac:dyDescent="0.25">
      <c r="B55" s="2">
        <v>5</v>
      </c>
      <c r="C55" s="3" t="s">
        <v>131</v>
      </c>
      <c r="D55" s="2" t="s">
        <v>144</v>
      </c>
      <c r="E55" s="2" t="s">
        <v>117</v>
      </c>
      <c r="F55" s="2" t="s">
        <v>51</v>
      </c>
      <c r="G55" s="2"/>
    </row>
    <row r="56" spans="2:7" x14ac:dyDescent="0.25">
      <c r="B56" s="2">
        <v>6</v>
      </c>
      <c r="C56" s="3" t="s">
        <v>132</v>
      </c>
      <c r="D56" s="2" t="s">
        <v>144</v>
      </c>
      <c r="E56" s="2" t="s">
        <v>118</v>
      </c>
      <c r="F56" s="2" t="s">
        <v>51</v>
      </c>
      <c r="G56" s="2"/>
    </row>
    <row r="57" spans="2:7" x14ac:dyDescent="0.25">
      <c r="B57" s="2">
        <v>7</v>
      </c>
      <c r="C57" s="3" t="s">
        <v>133</v>
      </c>
      <c r="D57" s="2" t="s">
        <v>144</v>
      </c>
      <c r="E57" s="2" t="s">
        <v>119</v>
      </c>
      <c r="F57" s="2" t="s">
        <v>51</v>
      </c>
      <c r="G57" s="2"/>
    </row>
    <row r="58" spans="2:7" x14ac:dyDescent="0.25">
      <c r="B58" s="2">
        <v>8</v>
      </c>
      <c r="C58" s="3" t="s">
        <v>134</v>
      </c>
      <c r="D58" s="2" t="s">
        <v>144</v>
      </c>
      <c r="E58" s="8" t="s">
        <v>120</v>
      </c>
      <c r="F58" s="2" t="s">
        <v>51</v>
      </c>
      <c r="G58" s="2"/>
    </row>
    <row r="59" spans="2:7" x14ac:dyDescent="0.25">
      <c r="B59" s="2">
        <v>9</v>
      </c>
      <c r="C59" s="3" t="s">
        <v>135</v>
      </c>
      <c r="D59" s="2" t="s">
        <v>144</v>
      </c>
      <c r="E59" s="2" t="s">
        <v>121</v>
      </c>
      <c r="F59" s="2" t="s">
        <v>51</v>
      </c>
      <c r="G59" s="2"/>
    </row>
    <row r="60" spans="2:7" x14ac:dyDescent="0.25">
      <c r="B60" s="2">
        <v>10</v>
      </c>
      <c r="C60" s="3" t="s">
        <v>136</v>
      </c>
      <c r="D60" s="2" t="s">
        <v>144</v>
      </c>
      <c r="E60" s="2" t="s">
        <v>122</v>
      </c>
      <c r="F60" s="2" t="s">
        <v>51</v>
      </c>
      <c r="G60" s="2"/>
    </row>
    <row r="61" spans="2:7" x14ac:dyDescent="0.25">
      <c r="B61" s="2">
        <v>11</v>
      </c>
      <c r="C61" s="3" t="s">
        <v>137</v>
      </c>
      <c r="D61" s="2" t="s">
        <v>144</v>
      </c>
      <c r="E61" s="2" t="s">
        <v>123</v>
      </c>
      <c r="F61" s="2" t="s">
        <v>51</v>
      </c>
      <c r="G61" s="2"/>
    </row>
    <row r="62" spans="2:7" x14ac:dyDescent="0.25">
      <c r="B62" s="2">
        <v>12</v>
      </c>
      <c r="C62" s="3" t="s">
        <v>138</v>
      </c>
      <c r="D62" s="2" t="s">
        <v>144</v>
      </c>
      <c r="E62" s="2" t="s">
        <v>124</v>
      </c>
      <c r="F62" s="2" t="s">
        <v>51</v>
      </c>
      <c r="G62" s="2"/>
    </row>
    <row r="63" spans="2:7" x14ac:dyDescent="0.25">
      <c r="B63" s="2">
        <v>13</v>
      </c>
      <c r="C63" s="3" t="s">
        <v>139</v>
      </c>
      <c r="D63" s="2" t="s">
        <v>144</v>
      </c>
      <c r="E63" s="2" t="s">
        <v>125</v>
      </c>
      <c r="F63" s="2" t="s">
        <v>51</v>
      </c>
      <c r="G63" s="2"/>
    </row>
    <row r="64" spans="2:7" x14ac:dyDescent="0.25">
      <c r="B64" s="2">
        <v>14</v>
      </c>
      <c r="C64" s="3" t="s">
        <v>140</v>
      </c>
      <c r="D64" s="2" t="s">
        <v>144</v>
      </c>
      <c r="E64" s="8" t="s">
        <v>126</v>
      </c>
      <c r="F64" s="2" t="s">
        <v>51</v>
      </c>
      <c r="G64" s="2"/>
    </row>
    <row r="65" spans="2:7" x14ac:dyDescent="0.25">
      <c r="B65" s="2">
        <v>15</v>
      </c>
      <c r="C65" s="3" t="s">
        <v>141</v>
      </c>
      <c r="D65" s="2" t="s">
        <v>144</v>
      </c>
      <c r="E65" s="2" t="s">
        <v>127</v>
      </c>
      <c r="F65" s="2" t="s">
        <v>51</v>
      </c>
      <c r="G65" s="2"/>
    </row>
    <row r="66" spans="2:7" x14ac:dyDescent="0.25">
      <c r="B66" s="2">
        <v>16</v>
      </c>
      <c r="C66" s="3" t="s">
        <v>142</v>
      </c>
      <c r="D66" s="2" t="s">
        <v>144</v>
      </c>
      <c r="E66" s="2" t="s">
        <v>128</v>
      </c>
      <c r="F66" s="2" t="s">
        <v>51</v>
      </c>
      <c r="G66" s="2"/>
    </row>
    <row r="67" spans="2:7" x14ac:dyDescent="0.25">
      <c r="B67" s="2">
        <v>17</v>
      </c>
      <c r="C67" s="3" t="s">
        <v>143</v>
      </c>
      <c r="D67" s="2" t="s">
        <v>144</v>
      </c>
      <c r="E67" s="2" t="s">
        <v>93</v>
      </c>
      <c r="F67" s="2" t="s">
        <v>51</v>
      </c>
      <c r="G67" s="2"/>
    </row>
    <row r="68" spans="2:7" x14ac:dyDescent="0.25">
      <c r="B68" s="2">
        <v>18</v>
      </c>
      <c r="C68" s="3" t="s">
        <v>109</v>
      </c>
      <c r="D68" s="8" t="s">
        <v>10</v>
      </c>
      <c r="E68" s="2">
        <v>1</v>
      </c>
      <c r="F68" s="2" t="s">
        <v>51</v>
      </c>
      <c r="G68" s="2"/>
    </row>
    <row r="69" spans="2:7" x14ac:dyDescent="0.25">
      <c r="B69" s="2">
        <v>18</v>
      </c>
      <c r="C69" s="3" t="s">
        <v>109</v>
      </c>
      <c r="D69" s="2" t="s">
        <v>106</v>
      </c>
      <c r="E69" s="2" t="s">
        <v>90</v>
      </c>
      <c r="F69" s="2" t="s">
        <v>51</v>
      </c>
      <c r="G69" s="2"/>
    </row>
    <row r="70" spans="2:7" x14ac:dyDescent="0.25">
      <c r="B70" s="2">
        <v>18</v>
      </c>
      <c r="C70" s="3" t="s">
        <v>109</v>
      </c>
      <c r="D70" s="2" t="s">
        <v>107</v>
      </c>
      <c r="E70" s="2">
        <v>2</v>
      </c>
      <c r="F70" s="2" t="s">
        <v>51</v>
      </c>
      <c r="G70" s="2"/>
    </row>
    <row r="71" spans="2:7" x14ac:dyDescent="0.25">
      <c r="B71" s="2">
        <v>18</v>
      </c>
      <c r="C71" s="3" t="s">
        <v>109</v>
      </c>
      <c r="D71" s="2" t="s">
        <v>108</v>
      </c>
      <c r="E71" s="2">
        <v>2</v>
      </c>
      <c r="F71" s="2" t="s">
        <v>51</v>
      </c>
      <c r="G71" s="2"/>
    </row>
    <row r="72" spans="2:7" x14ac:dyDescent="0.25">
      <c r="B72" s="2">
        <v>18</v>
      </c>
      <c r="C72" s="3" t="s">
        <v>109</v>
      </c>
      <c r="D72" s="2" t="s">
        <v>83</v>
      </c>
      <c r="E72" s="2">
        <v>28</v>
      </c>
      <c r="F72" s="2" t="s">
        <v>51</v>
      </c>
      <c r="G72" s="2"/>
    </row>
    <row r="73" spans="2:7" x14ac:dyDescent="0.25">
      <c r="B73" s="2">
        <v>18</v>
      </c>
      <c r="C73" s="3" t="s">
        <v>109</v>
      </c>
      <c r="D73" s="2" t="s">
        <v>110</v>
      </c>
      <c r="E73" s="8">
        <v>1</v>
      </c>
      <c r="F73" s="2" t="s">
        <v>51</v>
      </c>
      <c r="G73" s="2"/>
    </row>
    <row r="74" spans="2:7" x14ac:dyDescent="0.25">
      <c r="B74" s="2">
        <v>18</v>
      </c>
      <c r="C74" s="3" t="s">
        <v>109</v>
      </c>
      <c r="D74" s="2" t="s">
        <v>87</v>
      </c>
      <c r="E74" s="2">
        <v>2</v>
      </c>
      <c r="F74" s="2" t="s">
        <v>51</v>
      </c>
      <c r="G74" s="2"/>
    </row>
    <row r="75" spans="2:7" x14ac:dyDescent="0.25">
      <c r="B75" s="2">
        <v>18</v>
      </c>
      <c r="C75" s="3" t="s">
        <v>109</v>
      </c>
      <c r="D75" s="2" t="s">
        <v>94</v>
      </c>
      <c r="E75" s="2">
        <v>5</v>
      </c>
      <c r="F75" s="2" t="s">
        <v>51</v>
      </c>
      <c r="G75" s="2"/>
    </row>
    <row r="76" spans="2:7" x14ac:dyDescent="0.25">
      <c r="B76" s="2">
        <v>19</v>
      </c>
      <c r="C76" s="3" t="s">
        <v>145</v>
      </c>
      <c r="D76" s="2" t="s">
        <v>80</v>
      </c>
      <c r="E76" s="12" t="s">
        <v>81</v>
      </c>
      <c r="F76" s="2" t="s">
        <v>51</v>
      </c>
      <c r="G76" s="2"/>
    </row>
    <row r="77" spans="2:7" x14ac:dyDescent="0.25">
      <c r="B77" s="2">
        <v>20</v>
      </c>
      <c r="C77" s="3" t="s">
        <v>147</v>
      </c>
      <c r="D77" s="8" t="s">
        <v>84</v>
      </c>
      <c r="E77" s="12" t="s">
        <v>81</v>
      </c>
      <c r="F77" s="2" t="s">
        <v>51</v>
      </c>
      <c r="G77" s="2"/>
    </row>
    <row r="78" spans="2:7" x14ac:dyDescent="0.25">
      <c r="B78" s="2">
        <v>21</v>
      </c>
      <c r="C78" s="3" t="s">
        <v>146</v>
      </c>
      <c r="D78" s="8" t="s">
        <v>84</v>
      </c>
      <c r="E78" s="12" t="s">
        <v>81</v>
      </c>
      <c r="F78" s="2" t="s">
        <v>51</v>
      </c>
      <c r="G78" s="2"/>
    </row>
    <row r="79" spans="2:7" x14ac:dyDescent="0.25">
      <c r="B79" s="2">
        <v>22</v>
      </c>
      <c r="C79" s="3" t="s">
        <v>148</v>
      </c>
      <c r="D79" s="8" t="s">
        <v>84</v>
      </c>
      <c r="E79" s="12" t="s">
        <v>81</v>
      </c>
      <c r="F79" s="2" t="s">
        <v>51</v>
      </c>
      <c r="G79" s="2"/>
    </row>
    <row r="80" spans="2:7" x14ac:dyDescent="0.25">
      <c r="B80" s="2">
        <v>23</v>
      </c>
      <c r="C80" s="3" t="s">
        <v>149</v>
      </c>
      <c r="D80" s="2" t="s">
        <v>106</v>
      </c>
      <c r="E80" s="2" t="s">
        <v>150</v>
      </c>
      <c r="F80" s="2" t="s">
        <v>51</v>
      </c>
      <c r="G80" s="2"/>
    </row>
    <row r="81" spans="2:7" x14ac:dyDescent="0.25">
      <c r="B81" s="2">
        <v>24</v>
      </c>
      <c r="C81" s="3"/>
      <c r="D81" s="2"/>
      <c r="E81" s="2"/>
      <c r="F81" s="2"/>
      <c r="G81" s="2"/>
    </row>
    <row r="82" spans="2:7" x14ac:dyDescent="0.25">
      <c r="B82" s="2">
        <v>25</v>
      </c>
      <c r="C82" s="3"/>
      <c r="D82" s="2"/>
      <c r="E82" s="2"/>
      <c r="F82" s="2"/>
      <c r="G82" s="2"/>
    </row>
    <row r="83" spans="2:7" x14ac:dyDescent="0.25">
      <c r="B83" s="2">
        <v>26</v>
      </c>
      <c r="C83" s="3"/>
      <c r="D83" s="2"/>
      <c r="E83" s="2"/>
      <c r="F83" s="2"/>
      <c r="G83" s="2"/>
    </row>
  </sheetData>
  <phoneticPr fontId="2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90A0B9-1C04-4F19-B584-C2078B6C916A}">
  <dimension ref="B2:J22"/>
  <sheetViews>
    <sheetView zoomScale="70" zoomScaleNormal="70" workbookViewId="0">
      <selection activeCell="F24" sqref="F24"/>
    </sheetView>
  </sheetViews>
  <sheetFormatPr defaultRowHeight="15" x14ac:dyDescent="0.2"/>
  <cols>
    <col min="1" max="1" width="9.140625" style="19"/>
    <col min="2" max="2" width="12.5703125" style="19" bestFit="1" customWidth="1"/>
    <col min="3" max="3" width="31" style="19" bestFit="1" customWidth="1"/>
    <col min="4" max="4" width="14.5703125" style="19" bestFit="1" customWidth="1"/>
    <col min="5" max="5" width="16.140625" style="19" bestFit="1" customWidth="1"/>
    <col min="6" max="6" width="20.42578125" style="19" bestFit="1" customWidth="1"/>
    <col min="7" max="7" width="26.7109375" style="19" bestFit="1" customWidth="1"/>
    <col min="8" max="9" width="19.42578125" style="20" bestFit="1" customWidth="1"/>
    <col min="10" max="10" width="12.85546875" style="19" customWidth="1"/>
    <col min="11" max="16384" width="9.140625" style="19"/>
  </cols>
  <sheetData>
    <row r="2" spans="2:10" x14ac:dyDescent="0.2">
      <c r="B2" s="27" t="s">
        <v>73</v>
      </c>
      <c r="C2" s="28" t="s">
        <v>39</v>
      </c>
      <c r="D2" s="28" t="s">
        <v>77</v>
      </c>
      <c r="E2" s="28" t="s">
        <v>74</v>
      </c>
      <c r="F2" s="28" t="s">
        <v>52</v>
      </c>
      <c r="G2" s="28" t="s">
        <v>53</v>
      </c>
      <c r="H2" s="29" t="s">
        <v>61</v>
      </c>
      <c r="I2" s="29" t="s">
        <v>63</v>
      </c>
      <c r="J2" s="30" t="s">
        <v>54</v>
      </c>
    </row>
    <row r="3" spans="2:10" x14ac:dyDescent="0.2">
      <c r="B3" s="21">
        <v>1</v>
      </c>
      <c r="C3" s="22" t="s">
        <v>3</v>
      </c>
      <c r="D3" s="22" t="s">
        <v>51</v>
      </c>
      <c r="E3" s="22" t="s">
        <v>51</v>
      </c>
      <c r="F3" s="22">
        <f>COUNTIF(Connections!C:C,Parts!C3)</f>
        <v>0</v>
      </c>
      <c r="G3" s="22">
        <f t="shared" ref="G3:G16" si="0">F3*15</f>
        <v>0</v>
      </c>
      <c r="H3" s="23">
        <v>0.24</v>
      </c>
      <c r="I3" s="23">
        <f t="shared" ref="I3:I16" si="1">H3*G3</f>
        <v>0</v>
      </c>
      <c r="J3" s="24" t="s">
        <v>55</v>
      </c>
    </row>
    <row r="4" spans="2:10" x14ac:dyDescent="0.2">
      <c r="B4" s="21">
        <v>2</v>
      </c>
      <c r="C4" s="22" t="s">
        <v>9</v>
      </c>
      <c r="D4" s="22" t="s">
        <v>51</v>
      </c>
      <c r="E4" s="22" t="s">
        <v>51</v>
      </c>
      <c r="F4" s="22">
        <f>COUNTIF(Connections!C:C,Parts!C4)</f>
        <v>0</v>
      </c>
      <c r="G4" s="22">
        <f t="shared" si="0"/>
        <v>0</v>
      </c>
      <c r="H4" s="23">
        <v>0.21</v>
      </c>
      <c r="I4" s="23">
        <f t="shared" si="1"/>
        <v>0</v>
      </c>
      <c r="J4" s="24" t="s">
        <v>56</v>
      </c>
    </row>
    <row r="5" spans="2:10" x14ac:dyDescent="0.2">
      <c r="B5" s="21">
        <v>3</v>
      </c>
      <c r="C5" s="22" t="s">
        <v>1</v>
      </c>
      <c r="D5" s="22" t="s">
        <v>51</v>
      </c>
      <c r="E5" s="22" t="s">
        <v>51</v>
      </c>
      <c r="F5" s="22">
        <f>COUNTIF(Connections!C:C,Parts!C5)</f>
        <v>1</v>
      </c>
      <c r="G5" s="22">
        <f t="shared" si="0"/>
        <v>15</v>
      </c>
      <c r="H5" s="23">
        <v>0.76</v>
      </c>
      <c r="I5" s="23">
        <f t="shared" si="1"/>
        <v>11.4</v>
      </c>
      <c r="J5" s="25" t="s">
        <v>58</v>
      </c>
    </row>
    <row r="6" spans="2:10" x14ac:dyDescent="0.2">
      <c r="B6" s="21">
        <v>4</v>
      </c>
      <c r="C6" s="22" t="s">
        <v>4</v>
      </c>
      <c r="D6" s="22" t="s">
        <v>51</v>
      </c>
      <c r="E6" s="22" t="s">
        <v>51</v>
      </c>
      <c r="F6" s="22">
        <f>COUNTIF(Connections!C:C,Parts!C6)</f>
        <v>0</v>
      </c>
      <c r="G6" s="22">
        <f t="shared" si="0"/>
        <v>0</v>
      </c>
      <c r="H6" s="23">
        <f>13.29/10</f>
        <v>1.329</v>
      </c>
      <c r="I6" s="23">
        <f t="shared" si="1"/>
        <v>0</v>
      </c>
      <c r="J6" s="25" t="s">
        <v>59</v>
      </c>
    </row>
    <row r="7" spans="2:10" x14ac:dyDescent="0.2">
      <c r="B7" s="21">
        <v>5</v>
      </c>
      <c r="C7" s="22" t="s">
        <v>33</v>
      </c>
      <c r="D7" s="22" t="s">
        <v>51</v>
      </c>
      <c r="E7" s="22" t="s">
        <v>51</v>
      </c>
      <c r="F7" s="22">
        <f>COUNTIF(Connections!C:C,Parts!C7)</f>
        <v>0</v>
      </c>
      <c r="G7" s="22">
        <f t="shared" si="0"/>
        <v>0</v>
      </c>
      <c r="H7" s="23">
        <v>1.3</v>
      </c>
      <c r="I7" s="23">
        <f t="shared" si="1"/>
        <v>0</v>
      </c>
      <c r="J7" s="25" t="s">
        <v>60</v>
      </c>
    </row>
    <row r="8" spans="2:10" x14ac:dyDescent="0.2">
      <c r="B8" s="21">
        <v>6</v>
      </c>
      <c r="C8" s="22" t="s">
        <v>34</v>
      </c>
      <c r="D8" s="22" t="s">
        <v>51</v>
      </c>
      <c r="E8" s="22" t="s">
        <v>51</v>
      </c>
      <c r="F8" s="22">
        <f>COUNTIF(Connections!C:C,Parts!C8)</f>
        <v>0</v>
      </c>
      <c r="G8" s="22">
        <f t="shared" si="0"/>
        <v>0</v>
      </c>
      <c r="H8" s="23">
        <v>0.36</v>
      </c>
      <c r="I8" s="23">
        <f t="shared" si="1"/>
        <v>0</v>
      </c>
      <c r="J8" s="25" t="s">
        <v>62</v>
      </c>
    </row>
    <row r="9" spans="2:10" x14ac:dyDescent="0.2">
      <c r="B9" s="21">
        <v>8</v>
      </c>
      <c r="C9" s="22" t="s">
        <v>35</v>
      </c>
      <c r="D9" s="22" t="s">
        <v>51</v>
      </c>
      <c r="E9" s="22" t="s">
        <v>51</v>
      </c>
      <c r="F9" s="22">
        <f>COUNTIF(Connections!C:C,Parts!C9)</f>
        <v>0</v>
      </c>
      <c r="G9" s="22">
        <f t="shared" si="0"/>
        <v>0</v>
      </c>
      <c r="H9" s="23">
        <v>0.56999999999999995</v>
      </c>
      <c r="I9" s="23">
        <f t="shared" si="1"/>
        <v>0</v>
      </c>
      <c r="J9" s="25" t="s">
        <v>64</v>
      </c>
    </row>
    <row r="10" spans="2:10" x14ac:dyDescent="0.2">
      <c r="B10" s="21">
        <v>9</v>
      </c>
      <c r="C10" s="22" t="s">
        <v>36</v>
      </c>
      <c r="D10" s="22"/>
      <c r="E10" s="22" t="s">
        <v>51</v>
      </c>
      <c r="F10" s="22">
        <f>COUNTIF(Connections!C:C,Parts!C10)</f>
        <v>0</v>
      </c>
      <c r="G10" s="22">
        <f t="shared" si="0"/>
        <v>0</v>
      </c>
      <c r="H10" s="23">
        <v>4.87</v>
      </c>
      <c r="I10" s="23">
        <f t="shared" si="1"/>
        <v>0</v>
      </c>
      <c r="J10" s="25" t="s">
        <v>65</v>
      </c>
    </row>
    <row r="11" spans="2:10" x14ac:dyDescent="0.2">
      <c r="B11" s="21">
        <v>10</v>
      </c>
      <c r="C11" s="22" t="s">
        <v>49</v>
      </c>
      <c r="D11" s="22" t="s">
        <v>51</v>
      </c>
      <c r="E11" s="22" t="s">
        <v>51</v>
      </c>
      <c r="F11" s="22">
        <f>COUNTIF(Connections!C:C,Parts!C11)</f>
        <v>0</v>
      </c>
      <c r="G11" s="22">
        <f t="shared" si="0"/>
        <v>0</v>
      </c>
      <c r="H11" s="23">
        <v>0.1</v>
      </c>
      <c r="I11" s="23">
        <f t="shared" si="1"/>
        <v>0</v>
      </c>
      <c r="J11" s="25" t="s">
        <v>66</v>
      </c>
    </row>
    <row r="12" spans="2:10" x14ac:dyDescent="0.2">
      <c r="B12" s="21">
        <v>11</v>
      </c>
      <c r="C12" s="22" t="s">
        <v>50</v>
      </c>
      <c r="D12" s="22" t="s">
        <v>51</v>
      </c>
      <c r="E12" s="22" t="s">
        <v>51</v>
      </c>
      <c r="F12" s="22">
        <f>COUNTIF(Connections!C:C,Parts!C12)</f>
        <v>0</v>
      </c>
      <c r="G12" s="22">
        <f t="shared" si="0"/>
        <v>0</v>
      </c>
      <c r="H12" s="23">
        <v>0.1</v>
      </c>
      <c r="I12" s="23">
        <f t="shared" si="1"/>
        <v>0</v>
      </c>
      <c r="J12" s="25" t="s">
        <v>67</v>
      </c>
    </row>
    <row r="13" spans="2:10" x14ac:dyDescent="0.2">
      <c r="B13" s="21">
        <v>12</v>
      </c>
      <c r="C13" s="22" t="s">
        <v>57</v>
      </c>
      <c r="D13" s="22" t="s">
        <v>51</v>
      </c>
      <c r="E13" s="22" t="s">
        <v>51</v>
      </c>
      <c r="F13" s="22">
        <f>COUNTIF(Connections!C:C,Parts!C13)</f>
        <v>0</v>
      </c>
      <c r="G13" s="22">
        <f t="shared" si="0"/>
        <v>0</v>
      </c>
      <c r="H13" s="23">
        <v>0.1</v>
      </c>
      <c r="I13" s="23">
        <f t="shared" si="1"/>
        <v>0</v>
      </c>
      <c r="J13" s="25" t="s">
        <v>69</v>
      </c>
    </row>
    <row r="14" spans="2:10" x14ac:dyDescent="0.2">
      <c r="B14" s="21">
        <v>13</v>
      </c>
      <c r="C14" s="22" t="s">
        <v>68</v>
      </c>
      <c r="D14" s="22" t="s">
        <v>51</v>
      </c>
      <c r="E14" s="22" t="s">
        <v>51</v>
      </c>
      <c r="F14" s="22">
        <v>1</v>
      </c>
      <c r="G14" s="22">
        <f t="shared" si="0"/>
        <v>15</v>
      </c>
      <c r="H14" s="23">
        <v>0.28000000000000003</v>
      </c>
      <c r="I14" s="23">
        <f t="shared" si="1"/>
        <v>4.2</v>
      </c>
      <c r="J14" s="25" t="s">
        <v>70</v>
      </c>
    </row>
    <row r="15" spans="2:10" x14ac:dyDescent="0.2">
      <c r="B15" s="21">
        <v>14</v>
      </c>
      <c r="C15" s="22" t="s">
        <v>71</v>
      </c>
      <c r="D15" s="22" t="s">
        <v>51</v>
      </c>
      <c r="E15" s="22" t="s">
        <v>51</v>
      </c>
      <c r="F15" s="22">
        <v>1</v>
      </c>
      <c r="G15" s="22">
        <f t="shared" si="0"/>
        <v>15</v>
      </c>
      <c r="H15" s="23">
        <f>9.99/2</f>
        <v>4.9950000000000001</v>
      </c>
      <c r="I15" s="23">
        <f t="shared" si="1"/>
        <v>74.924999999999997</v>
      </c>
      <c r="J15" s="25" t="s">
        <v>72</v>
      </c>
    </row>
    <row r="16" spans="2:10" x14ac:dyDescent="0.2">
      <c r="B16" s="21">
        <v>15</v>
      </c>
      <c r="C16" s="22" t="s">
        <v>75</v>
      </c>
      <c r="D16" s="22" t="s">
        <v>51</v>
      </c>
      <c r="E16" s="22" t="s">
        <v>51</v>
      </c>
      <c r="F16" s="22">
        <v>1</v>
      </c>
      <c r="G16" s="22">
        <f t="shared" si="0"/>
        <v>15</v>
      </c>
      <c r="H16" s="23">
        <v>0.1</v>
      </c>
      <c r="I16" s="23">
        <f t="shared" si="1"/>
        <v>1.5</v>
      </c>
      <c r="J16" s="25" t="s">
        <v>76</v>
      </c>
    </row>
    <row r="17" spans="2:10" x14ac:dyDescent="0.2">
      <c r="B17" s="21">
        <v>16</v>
      </c>
      <c r="C17" s="22" t="s">
        <v>153</v>
      </c>
      <c r="D17" s="22" t="s">
        <v>51</v>
      </c>
      <c r="E17" s="22" t="s">
        <v>51</v>
      </c>
      <c r="F17" s="22">
        <v>1</v>
      </c>
      <c r="G17" s="22">
        <v>3</v>
      </c>
      <c r="H17" s="23">
        <v>11.41</v>
      </c>
      <c r="I17" s="23">
        <f t="shared" ref="I17:I18" si="2">H17*G17</f>
        <v>34.230000000000004</v>
      </c>
      <c r="J17" s="25" t="s">
        <v>152</v>
      </c>
    </row>
    <row r="18" spans="2:10" x14ac:dyDescent="0.2">
      <c r="B18" s="21">
        <v>17</v>
      </c>
      <c r="C18" s="22" t="s">
        <v>154</v>
      </c>
      <c r="D18" s="22" t="s">
        <v>51</v>
      </c>
      <c r="E18" s="22" t="s">
        <v>51</v>
      </c>
      <c r="F18" s="22">
        <v>1</v>
      </c>
      <c r="G18" s="22">
        <f t="shared" ref="G18" si="3">F18*15</f>
        <v>15</v>
      </c>
      <c r="H18" s="26">
        <v>0.4</v>
      </c>
      <c r="I18" s="26">
        <f t="shared" si="2"/>
        <v>6</v>
      </c>
      <c r="J18" s="25" t="s">
        <v>151</v>
      </c>
    </row>
    <row r="19" spans="2:10" x14ac:dyDescent="0.2">
      <c r="B19" s="21">
        <v>18</v>
      </c>
      <c r="C19" s="22" t="s">
        <v>155</v>
      </c>
      <c r="D19" s="22" t="s">
        <v>51</v>
      </c>
      <c r="E19" s="22" t="s">
        <v>51</v>
      </c>
      <c r="F19" s="22">
        <v>201</v>
      </c>
      <c r="G19" s="22">
        <v>500</v>
      </c>
      <c r="H19" s="23">
        <v>33.340000000000003</v>
      </c>
      <c r="I19" s="23">
        <f>H19</f>
        <v>33.340000000000003</v>
      </c>
      <c r="J19" s="25" t="s">
        <v>156</v>
      </c>
    </row>
    <row r="20" spans="2:10" x14ac:dyDescent="0.2">
      <c r="B20" s="21">
        <v>18</v>
      </c>
      <c r="C20" s="22" t="s">
        <v>158</v>
      </c>
      <c r="D20" s="22" t="s">
        <v>51</v>
      </c>
      <c r="E20" s="22" t="s">
        <v>51</v>
      </c>
      <c r="F20" s="22">
        <v>2</v>
      </c>
      <c r="G20" s="22">
        <f t="shared" ref="G20" si="4">F20*15</f>
        <v>30</v>
      </c>
      <c r="H20" s="23">
        <v>0.1</v>
      </c>
      <c r="I20" s="23">
        <f t="shared" ref="I20:I21" si="5">H20*G20</f>
        <v>3</v>
      </c>
      <c r="J20" s="25" t="s">
        <v>157</v>
      </c>
    </row>
    <row r="21" spans="2:10" x14ac:dyDescent="0.2">
      <c r="B21" s="21">
        <v>19</v>
      </c>
      <c r="C21" s="22" t="s">
        <v>111</v>
      </c>
      <c r="D21" s="22" t="s">
        <v>51</v>
      </c>
      <c r="E21" s="22" t="s">
        <v>51</v>
      </c>
      <c r="F21" s="22">
        <v>1</v>
      </c>
      <c r="G21" s="22">
        <v>10</v>
      </c>
      <c r="H21" s="23">
        <v>1.57</v>
      </c>
      <c r="I21" s="23">
        <f t="shared" si="5"/>
        <v>15.700000000000001</v>
      </c>
      <c r="J21" s="25" t="s">
        <v>159</v>
      </c>
    </row>
    <row r="22" spans="2:10" x14ac:dyDescent="0.2">
      <c r="B22" s="21">
        <v>20</v>
      </c>
      <c r="C22" s="22" t="s">
        <v>381</v>
      </c>
      <c r="D22" s="22" t="s">
        <v>51</v>
      </c>
      <c r="E22" s="22" t="s">
        <v>51</v>
      </c>
      <c r="F22" s="22">
        <v>1</v>
      </c>
      <c r="G22" s="22">
        <v>100</v>
      </c>
      <c r="H22" s="23">
        <v>6.95</v>
      </c>
      <c r="I22" s="23">
        <f>Table1[[#This Row],[Unit Price]]</f>
        <v>6.95</v>
      </c>
      <c r="J22" s="25" t="s">
        <v>382</v>
      </c>
    </row>
  </sheetData>
  <hyperlinks>
    <hyperlink ref="J3" r:id="rId1" xr:uid="{4D6F87C5-F725-469C-A433-B9F19C98E18E}"/>
    <hyperlink ref="J4" r:id="rId2" xr:uid="{650808D1-6726-4E20-89B4-E937A8438BA8}"/>
  </hyperlinks>
  <pageMargins left="0.7" right="0.7" top="0.75" bottom="0.75" header="0.3" footer="0.3"/>
  <pageSetup orientation="portrait" r:id="rId3"/>
  <tableParts count="1">
    <tablePart r:id="rId4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D8094C-BAC7-4D03-81AB-DB1439CDC67D}">
  <dimension ref="B2:Z68"/>
  <sheetViews>
    <sheetView tabSelected="1" topLeftCell="A35" zoomScaleNormal="100" workbookViewId="0">
      <selection activeCell="O40" sqref="O40"/>
    </sheetView>
  </sheetViews>
  <sheetFormatPr defaultRowHeight="15" x14ac:dyDescent="0.25"/>
  <cols>
    <col min="2" max="2" width="10.85546875" bestFit="1" customWidth="1"/>
    <col min="12" max="12" width="9.28515625" bestFit="1" customWidth="1"/>
    <col min="13" max="13" width="9.5703125" bestFit="1" customWidth="1"/>
  </cols>
  <sheetData>
    <row r="2" spans="2:26" x14ac:dyDescent="0.25">
      <c r="B2" s="7" t="s">
        <v>38</v>
      </c>
      <c r="L2" s="7" t="s">
        <v>12</v>
      </c>
      <c r="Z2" s="9" t="s">
        <v>1</v>
      </c>
    </row>
    <row r="3" spans="2:26" x14ac:dyDescent="0.25">
      <c r="B3" s="1" t="s">
        <v>39</v>
      </c>
      <c r="C3" s="1" t="s">
        <v>41</v>
      </c>
      <c r="D3" s="1" t="s">
        <v>40</v>
      </c>
    </row>
    <row r="4" spans="2:26" x14ac:dyDescent="0.25">
      <c r="B4" s="2" t="s">
        <v>14</v>
      </c>
      <c r="C4" s="2">
        <v>50.5</v>
      </c>
      <c r="D4" s="2" t="s">
        <v>15</v>
      </c>
      <c r="E4" s="10"/>
    </row>
    <row r="5" spans="2:26" x14ac:dyDescent="0.25">
      <c r="B5" s="2" t="s">
        <v>13</v>
      </c>
      <c r="C5" s="2">
        <f>1000/C4</f>
        <v>19.801980198019802</v>
      </c>
      <c r="D5" s="2" t="s">
        <v>18</v>
      </c>
      <c r="E5" t="s">
        <v>42</v>
      </c>
    </row>
    <row r="6" spans="2:26" x14ac:dyDescent="0.25">
      <c r="B6" s="2" t="s">
        <v>16</v>
      </c>
      <c r="C6" s="2">
        <v>40</v>
      </c>
      <c r="D6" s="2" t="s">
        <v>17</v>
      </c>
    </row>
    <row r="7" spans="2:26" x14ac:dyDescent="0.25">
      <c r="B7" s="4" t="s">
        <v>19</v>
      </c>
      <c r="C7" s="4">
        <f>C6/C5</f>
        <v>2.02</v>
      </c>
      <c r="D7" s="4" t="s">
        <v>20</v>
      </c>
    </row>
    <row r="11" spans="2:26" x14ac:dyDescent="0.25">
      <c r="B11" s="7" t="s">
        <v>48</v>
      </c>
    </row>
    <row r="12" spans="2:26" x14ac:dyDescent="0.25">
      <c r="B12" s="1" t="s">
        <v>39</v>
      </c>
      <c r="C12" s="1" t="s">
        <v>41</v>
      </c>
      <c r="D12" s="1" t="s">
        <v>40</v>
      </c>
    </row>
    <row r="13" spans="2:26" x14ac:dyDescent="0.25">
      <c r="B13" s="2" t="s">
        <v>46</v>
      </c>
      <c r="C13" s="31">
        <v>0.01</v>
      </c>
      <c r="D13" s="2" t="s">
        <v>18</v>
      </c>
      <c r="F13">
        <f>40/C13</f>
        <v>4000</v>
      </c>
    </row>
    <row r="14" spans="2:26" x14ac:dyDescent="0.25">
      <c r="B14" s="2" t="s">
        <v>47</v>
      </c>
      <c r="C14" s="2">
        <f>C15/C13</f>
        <v>420</v>
      </c>
      <c r="D14" s="2" t="s">
        <v>43</v>
      </c>
    </row>
    <row r="15" spans="2:26" x14ac:dyDescent="0.25">
      <c r="B15" s="2" t="s">
        <v>44</v>
      </c>
      <c r="C15" s="2">
        <v>4.2</v>
      </c>
      <c r="D15" s="2" t="s">
        <v>37</v>
      </c>
    </row>
    <row r="16" spans="2:26" x14ac:dyDescent="0.25">
      <c r="B16" s="2" t="s">
        <v>45</v>
      </c>
      <c r="C16" s="2">
        <v>3</v>
      </c>
      <c r="D16" s="2" t="s">
        <v>37</v>
      </c>
    </row>
    <row r="17" spans="2:4" x14ac:dyDescent="0.25">
      <c r="B17" s="2" t="s">
        <v>2</v>
      </c>
      <c r="C17" s="2">
        <v>0</v>
      </c>
      <c r="D17" s="2" t="s">
        <v>37</v>
      </c>
    </row>
    <row r="18" spans="2:4" x14ac:dyDescent="0.25">
      <c r="B18" s="2" t="s">
        <v>32</v>
      </c>
      <c r="C18" s="2">
        <f>(C15-C16)/C13</f>
        <v>120.00000000000001</v>
      </c>
      <c r="D18" s="2" t="s">
        <v>43</v>
      </c>
    </row>
    <row r="19" spans="2:4" x14ac:dyDescent="0.25">
      <c r="B19" s="4" t="s">
        <v>11</v>
      </c>
      <c r="C19" s="4">
        <f>(C16-C17)/C13</f>
        <v>300</v>
      </c>
      <c r="D19" s="4" t="s">
        <v>43</v>
      </c>
    </row>
    <row r="21" spans="2:4" x14ac:dyDescent="0.25">
      <c r="B21" s="7" t="s">
        <v>95</v>
      </c>
    </row>
    <row r="22" spans="2:4" x14ac:dyDescent="0.25">
      <c r="B22" s="1" t="s">
        <v>39</v>
      </c>
      <c r="C22" s="1" t="s">
        <v>41</v>
      </c>
      <c r="D22" s="1" t="s">
        <v>40</v>
      </c>
    </row>
    <row r="23" spans="2:4" x14ac:dyDescent="0.25">
      <c r="B23" s="2" t="s">
        <v>46</v>
      </c>
      <c r="C23" s="2">
        <f>C27/C24</f>
        <v>7.1428571428571426E-3</v>
      </c>
      <c r="D23" s="2" t="s">
        <v>18</v>
      </c>
    </row>
    <row r="24" spans="2:4" x14ac:dyDescent="0.25">
      <c r="B24" s="2" t="s">
        <v>47</v>
      </c>
      <c r="C24" s="2">
        <f>SUM(C25:C26)</f>
        <v>420</v>
      </c>
      <c r="D24" s="2" t="s">
        <v>43</v>
      </c>
    </row>
    <row r="25" spans="2:4" x14ac:dyDescent="0.25">
      <c r="B25" s="2" t="s">
        <v>32</v>
      </c>
      <c r="C25" s="2">
        <v>120</v>
      </c>
      <c r="D25" s="2" t="s">
        <v>43</v>
      </c>
    </row>
    <row r="26" spans="2:4" x14ac:dyDescent="0.25">
      <c r="B26" s="2" t="s">
        <v>11</v>
      </c>
      <c r="C26" s="2">
        <v>300</v>
      </c>
      <c r="D26" s="2" t="s">
        <v>43</v>
      </c>
    </row>
    <row r="27" spans="2:4" x14ac:dyDescent="0.25">
      <c r="B27" s="2" t="s">
        <v>44</v>
      </c>
      <c r="C27" s="2">
        <v>3</v>
      </c>
      <c r="D27" s="2" t="s">
        <v>37</v>
      </c>
    </row>
    <row r="28" spans="2:4" x14ac:dyDescent="0.25">
      <c r="B28" s="2" t="s">
        <v>45</v>
      </c>
      <c r="C28" s="2">
        <f>C27-C23*C25</f>
        <v>2.1428571428571428</v>
      </c>
      <c r="D28" s="2" t="s">
        <v>37</v>
      </c>
    </row>
    <row r="29" spans="2:4" x14ac:dyDescent="0.25">
      <c r="B29" s="4" t="s">
        <v>2</v>
      </c>
      <c r="C29" s="4">
        <v>0</v>
      </c>
      <c r="D29" s="4" t="s">
        <v>37</v>
      </c>
    </row>
    <row r="31" spans="2:4" x14ac:dyDescent="0.25">
      <c r="B31" s="7" t="s">
        <v>96</v>
      </c>
    </row>
    <row r="32" spans="2:4" x14ac:dyDescent="0.25">
      <c r="B32" s="1" t="s">
        <v>39</v>
      </c>
      <c r="C32" s="1" t="s">
        <v>41</v>
      </c>
      <c r="D32" s="1" t="s">
        <v>40</v>
      </c>
    </row>
    <row r="33" spans="2:16" x14ac:dyDescent="0.25">
      <c r="B33" s="2" t="s">
        <v>46</v>
      </c>
      <c r="C33" s="2">
        <f>C37/C34</f>
        <v>7.3809523809523813E-3</v>
      </c>
      <c r="D33" s="2" t="s">
        <v>18</v>
      </c>
    </row>
    <row r="34" spans="2:16" x14ac:dyDescent="0.25">
      <c r="B34" s="2" t="s">
        <v>47</v>
      </c>
      <c r="C34" s="2">
        <f>SUM(C35:C36)</f>
        <v>420</v>
      </c>
      <c r="D34" s="2" t="s">
        <v>43</v>
      </c>
    </row>
    <row r="35" spans="2:16" x14ac:dyDescent="0.25">
      <c r="B35" s="2" t="s">
        <v>32</v>
      </c>
      <c r="C35" s="2">
        <v>120</v>
      </c>
      <c r="D35" s="2" t="s">
        <v>43</v>
      </c>
    </row>
    <row r="36" spans="2:16" x14ac:dyDescent="0.25">
      <c r="B36" s="2" t="s">
        <v>11</v>
      </c>
      <c r="C36" s="2">
        <v>300</v>
      </c>
      <c r="D36" s="2" t="s">
        <v>43</v>
      </c>
      <c r="M36" t="s">
        <v>384</v>
      </c>
    </row>
    <row r="37" spans="2:16" x14ac:dyDescent="0.25">
      <c r="B37" s="2" t="s">
        <v>44</v>
      </c>
      <c r="C37" s="2">
        <v>3.1</v>
      </c>
      <c r="D37" s="2" t="s">
        <v>37</v>
      </c>
    </row>
    <row r="38" spans="2:16" x14ac:dyDescent="0.25">
      <c r="B38" s="2" t="s">
        <v>2</v>
      </c>
      <c r="C38" s="2">
        <v>0</v>
      </c>
      <c r="D38" s="2" t="s">
        <v>37</v>
      </c>
    </row>
    <row r="39" spans="2:16" x14ac:dyDescent="0.25">
      <c r="B39" s="4" t="s">
        <v>45</v>
      </c>
      <c r="C39" s="14">
        <f>C37-C35*C33</f>
        <v>2.2142857142857144</v>
      </c>
      <c r="D39" s="4" t="s">
        <v>37</v>
      </c>
    </row>
    <row r="41" spans="2:16" x14ac:dyDescent="0.25">
      <c r="B41" s="7" t="s">
        <v>383</v>
      </c>
    </row>
    <row r="42" spans="2:16" x14ac:dyDescent="0.25">
      <c r="B42" s="1" t="s">
        <v>39</v>
      </c>
      <c r="C42" s="1" t="s">
        <v>41</v>
      </c>
      <c r="D42" s="1" t="s">
        <v>40</v>
      </c>
    </row>
    <row r="43" spans="2:16" x14ac:dyDescent="0.25">
      <c r="B43" s="2" t="s">
        <v>46</v>
      </c>
      <c r="C43" s="2">
        <f>C47/C44</f>
        <v>7.619047619047619E-3</v>
      </c>
      <c r="D43" s="2" t="s">
        <v>18</v>
      </c>
      <c r="K43" t="s">
        <v>385</v>
      </c>
      <c r="N43" t="s">
        <v>390</v>
      </c>
    </row>
    <row r="44" spans="2:16" x14ac:dyDescent="0.25">
      <c r="B44" s="2" t="s">
        <v>47</v>
      </c>
      <c r="C44" s="2">
        <f>SUM(C45:C46)</f>
        <v>420</v>
      </c>
      <c r="D44" s="2" t="s">
        <v>43</v>
      </c>
      <c r="K44" t="s">
        <v>37</v>
      </c>
      <c r="L44" t="s">
        <v>386</v>
      </c>
      <c r="N44" t="s">
        <v>389</v>
      </c>
      <c r="O44" t="s">
        <v>387</v>
      </c>
      <c r="P44" t="s">
        <v>388</v>
      </c>
    </row>
    <row r="45" spans="2:16" x14ac:dyDescent="0.25">
      <c r="B45" s="2" t="s">
        <v>32</v>
      </c>
      <c r="C45" s="2">
        <v>120</v>
      </c>
      <c r="D45" s="2" t="s">
        <v>43</v>
      </c>
      <c r="K45" s="33">
        <v>4.1444490856944602</v>
      </c>
      <c r="L45" s="33">
        <v>0.28866917542809101</v>
      </c>
      <c r="N45">
        <v>4.2</v>
      </c>
      <c r="O45" s="32">
        <f>N45 - $C$45*(N45/$C$44)</f>
        <v>3</v>
      </c>
      <c r="P45" s="34">
        <v>100</v>
      </c>
    </row>
    <row r="46" spans="2:16" x14ac:dyDescent="0.25">
      <c r="B46" s="2" t="s">
        <v>11</v>
      </c>
      <c r="C46" s="2">
        <v>300</v>
      </c>
      <c r="D46" s="2" t="s">
        <v>43</v>
      </c>
      <c r="K46" s="33">
        <v>4.0994927776762502</v>
      </c>
      <c r="L46" s="33">
        <v>2.42661127003251</v>
      </c>
      <c r="N46" s="33">
        <v>4.1444490856944602</v>
      </c>
      <c r="O46" s="32">
        <f>N46 - $C$45*(N46/$C$44)</f>
        <v>2.9603207754960428</v>
      </c>
      <c r="P46" s="34">
        <v>99</v>
      </c>
    </row>
    <row r="47" spans="2:16" x14ac:dyDescent="0.25">
      <c r="B47" s="2" t="s">
        <v>44</v>
      </c>
      <c r="C47" s="2">
        <v>3.2</v>
      </c>
      <c r="D47" s="2" t="s">
        <v>37</v>
      </c>
      <c r="K47" s="33">
        <v>4.0545364696580304</v>
      </c>
      <c r="L47" s="33">
        <v>4.5645533646369199</v>
      </c>
      <c r="N47" s="33">
        <v>4.0994927776762502</v>
      </c>
      <c r="O47" s="32">
        <f>N47 - $C$45*(N47/$C$44)</f>
        <v>2.9282091269116073</v>
      </c>
      <c r="P47" s="34">
        <f>100-L46</f>
        <v>97.57338872996749</v>
      </c>
    </row>
    <row r="48" spans="2:16" x14ac:dyDescent="0.25">
      <c r="B48" s="2" t="s">
        <v>2</v>
      </c>
      <c r="C48" s="2">
        <v>0</v>
      </c>
      <c r="D48" s="2" t="s">
        <v>37</v>
      </c>
      <c r="K48" s="33">
        <v>4.0218713520085601</v>
      </c>
      <c r="L48" s="33">
        <v>7.0099616972553997</v>
      </c>
      <c r="N48" s="33">
        <v>4.0545364696580304</v>
      </c>
      <c r="O48" s="32">
        <f>N48 - $C$45*(N48/$C$44)</f>
        <v>2.8960974783271647</v>
      </c>
      <c r="P48" s="34">
        <f>100-L47</f>
        <v>95.435446635363078</v>
      </c>
    </row>
    <row r="49" spans="2:16" x14ac:dyDescent="0.25">
      <c r="B49" s="4" t="s">
        <v>45</v>
      </c>
      <c r="C49" s="14">
        <f>C47-C45*C43</f>
        <v>2.285714285714286</v>
      </c>
      <c r="D49" s="4" t="s">
        <v>37</v>
      </c>
      <c r="K49" s="33">
        <v>3.9687748716093401</v>
      </c>
      <c r="L49" s="33">
        <v>10.5245648517307</v>
      </c>
      <c r="N49" s="33">
        <v>4.0218713520085601</v>
      </c>
      <c r="O49" s="32">
        <f>N49 - $C$45*(N49/$C$44)</f>
        <v>2.8727652514346858</v>
      </c>
      <c r="P49" s="34">
        <f>100-L48</f>
        <v>92.990038302744594</v>
      </c>
    </row>
    <row r="50" spans="2:16" x14ac:dyDescent="0.25">
      <c r="K50" s="33">
        <v>3.9279486959537802</v>
      </c>
      <c r="L50" s="33">
        <v>13.734387062847</v>
      </c>
      <c r="N50" s="33">
        <v>3.9687748716093401</v>
      </c>
      <c r="O50" s="32">
        <f>N50 - $C$45*(N50/$C$44)</f>
        <v>2.8348391940066717</v>
      </c>
      <c r="P50" s="34">
        <f>100-L49</f>
        <v>89.475435148269298</v>
      </c>
    </row>
    <row r="51" spans="2:16" x14ac:dyDescent="0.25">
      <c r="K51" s="33">
        <v>3.8625923536234601</v>
      </c>
      <c r="L51" s="33">
        <v>17.859894751367801</v>
      </c>
      <c r="N51" s="33">
        <v>3.9279486959537802</v>
      </c>
      <c r="O51" s="32">
        <f>N51 - $C$45*(N51/$C$44)</f>
        <v>2.8056776399669858</v>
      </c>
      <c r="P51" s="34">
        <f>100-L50</f>
        <v>86.265612937152994</v>
      </c>
    </row>
    <row r="52" spans="2:16" x14ac:dyDescent="0.25">
      <c r="K52" s="33">
        <v>3.8258806461117301</v>
      </c>
      <c r="L52" s="33">
        <v>21.682411692966301</v>
      </c>
      <c r="N52" s="33">
        <v>3.8625923536234601</v>
      </c>
      <c r="O52" s="32">
        <f>N52 - $C$45*(N52/$C$44)</f>
        <v>2.7589945383024714</v>
      </c>
      <c r="P52" s="34">
        <f>100-L51</f>
        <v>82.140105248632196</v>
      </c>
    </row>
    <row r="53" spans="2:16" x14ac:dyDescent="0.25">
      <c r="K53" s="33">
        <v>3.79330951377518</v>
      </c>
      <c r="L53" s="33">
        <v>26.8829323417634</v>
      </c>
      <c r="N53" s="33">
        <v>3.8258806461117301</v>
      </c>
      <c r="O53" s="32">
        <f>N53 - $C$45*(N53/$C$44)</f>
        <v>2.7327718900798073</v>
      </c>
      <c r="P53" s="34">
        <f>100-L52</f>
        <v>78.317588307033702</v>
      </c>
    </row>
    <row r="54" spans="2:16" x14ac:dyDescent="0.25">
      <c r="K54" s="33">
        <v>3.74845241247617</v>
      </c>
      <c r="L54" s="33">
        <v>31.9290485478896</v>
      </c>
      <c r="N54" s="33">
        <v>3.79330951377518</v>
      </c>
      <c r="O54" s="32">
        <f>N54 - $C$45*(N54/$C$44)</f>
        <v>2.7095067955537</v>
      </c>
      <c r="P54" s="34">
        <f>100-L53</f>
        <v>73.117067658236607</v>
      </c>
    </row>
    <row r="55" spans="2:16" x14ac:dyDescent="0.25">
      <c r="K55" s="33">
        <v>3.72815158488328</v>
      </c>
      <c r="L55" s="33">
        <v>36.824788253327696</v>
      </c>
      <c r="N55" s="33">
        <v>3.74845241247617</v>
      </c>
      <c r="O55" s="32">
        <f>N55 - $C$45*(N55/$C$44)</f>
        <v>2.6774660089115501</v>
      </c>
      <c r="P55" s="34">
        <f>100-L54</f>
        <v>68.070951452110393</v>
      </c>
    </row>
    <row r="56" spans="2:16" x14ac:dyDescent="0.25">
      <c r="K56" s="33">
        <v>3.7078820857280301</v>
      </c>
      <c r="L56" s="33">
        <v>42.638898730825296</v>
      </c>
      <c r="N56" s="33">
        <v>3.72815158488328</v>
      </c>
      <c r="O56" s="32">
        <f>N56 - $C$45*(N56/$C$44)</f>
        <v>2.6629654177737714</v>
      </c>
      <c r="P56" s="34">
        <f>100-L55</f>
        <v>63.175211746672304</v>
      </c>
    </row>
    <row r="57" spans="2:16" x14ac:dyDescent="0.25">
      <c r="K57" s="33">
        <v>3.69583108004788</v>
      </c>
      <c r="L57" s="33">
        <v>49.372275078600801</v>
      </c>
      <c r="N57" s="33">
        <v>3.7078820857280301</v>
      </c>
      <c r="O57" s="32">
        <f>N57 - $C$45*(N57/$C$44)</f>
        <v>2.6484872040914498</v>
      </c>
      <c r="P57" s="34">
        <f>100-L56</f>
        <v>57.361101269174704</v>
      </c>
    </row>
    <row r="58" spans="2:16" x14ac:dyDescent="0.25">
      <c r="K58" s="33">
        <v>3.66744229413673</v>
      </c>
      <c r="L58" s="33">
        <v>57.175293797342199</v>
      </c>
      <c r="N58" s="33">
        <v>3.69583108004788</v>
      </c>
      <c r="O58" s="32">
        <f>N58 - $C$45*(N58/$C$44)</f>
        <v>2.639879342891343</v>
      </c>
      <c r="P58" s="34">
        <f>100-L57</f>
        <v>50.627724921399199</v>
      </c>
    </row>
    <row r="59" spans="2:16" x14ac:dyDescent="0.25">
      <c r="K59" s="33">
        <v>3.66769292163788</v>
      </c>
      <c r="L59" s="33">
        <v>64.522259973818294</v>
      </c>
      <c r="N59" s="33">
        <v>3.66744229413673</v>
      </c>
      <c r="O59" s="32">
        <f>N59 - $C$45*(N59/$C$44)</f>
        <v>2.619601638669093</v>
      </c>
      <c r="P59" s="34">
        <f>100-L58</f>
        <v>42.824706202657801</v>
      </c>
    </row>
    <row r="60" spans="2:16" x14ac:dyDescent="0.25">
      <c r="K60" s="33">
        <v>3.6638395238077401</v>
      </c>
      <c r="L60" s="33">
        <v>71.562655010498702</v>
      </c>
      <c r="N60" s="33">
        <v>3.66769292163788</v>
      </c>
      <c r="O60" s="32">
        <f>N60 - $C$45*(N60/$C$44)</f>
        <v>2.6197806583127714</v>
      </c>
      <c r="P60" s="34">
        <f>100-L59</f>
        <v>35.477740026181706</v>
      </c>
    </row>
    <row r="61" spans="2:16" x14ac:dyDescent="0.25">
      <c r="K61" s="33">
        <v>3.6518355107840601</v>
      </c>
      <c r="L61" s="33">
        <v>79.673587516363497</v>
      </c>
      <c r="N61" s="33">
        <v>3.6638395238077401</v>
      </c>
      <c r="O61" s="32">
        <f>N61 - $C$45*(N61/$C$44)</f>
        <v>2.617028231291243</v>
      </c>
      <c r="P61" s="34">
        <f>100-L60</f>
        <v>28.437344989501298</v>
      </c>
    </row>
    <row r="62" spans="2:16" x14ac:dyDescent="0.25">
      <c r="K62" s="33">
        <v>3.6110772134100602</v>
      </c>
      <c r="L62" s="33">
        <v>84.8732130669421</v>
      </c>
      <c r="N62" s="33">
        <v>3.6518355107840601</v>
      </c>
      <c r="O62" s="32">
        <f>N62 - $C$45*(N62/$C$44)</f>
        <v>2.6084539362743286</v>
      </c>
      <c r="P62" s="34">
        <f>100-L61</f>
        <v>20.326412483636503</v>
      </c>
    </row>
    <row r="63" spans="2:16" x14ac:dyDescent="0.25">
      <c r="K63" s="33">
        <v>3.5661887836733999</v>
      </c>
      <c r="L63" s="33">
        <v>89.000958501008796</v>
      </c>
      <c r="N63" s="33">
        <v>3.6110772134100602</v>
      </c>
      <c r="O63" s="32">
        <f>N63 - $C$45*(N63/$C$44)</f>
        <v>2.5793408667214717</v>
      </c>
      <c r="P63" s="34">
        <f>100-L62</f>
        <v>15.1267869330579</v>
      </c>
    </row>
    <row r="64" spans="2:16" x14ac:dyDescent="0.25">
      <c r="K64" s="33">
        <v>3.5172276570431098</v>
      </c>
      <c r="L64" s="33">
        <v>93.740503567339303</v>
      </c>
      <c r="N64" s="33">
        <v>3.5661887836733999</v>
      </c>
      <c r="O64" s="32">
        <f>N64 - $C$45*(N64/$C$44)</f>
        <v>2.5472777026238571</v>
      </c>
      <c r="P64" s="34">
        <f>100-L63</f>
        <v>10.999041498991204</v>
      </c>
    </row>
    <row r="65" spans="11:16" x14ac:dyDescent="0.25">
      <c r="K65" s="33">
        <v>3.3904414699004501</v>
      </c>
      <c r="L65" s="33">
        <v>97.093989042505996</v>
      </c>
      <c r="N65" s="33">
        <v>3.5172276570431098</v>
      </c>
      <c r="O65" s="32">
        <f>N65 - $C$45*(N65/$C$44)</f>
        <v>2.512305469316507</v>
      </c>
      <c r="P65" s="34">
        <f>100-L64</f>
        <v>6.259496432660697</v>
      </c>
    </row>
    <row r="66" spans="11:16" x14ac:dyDescent="0.25">
      <c r="K66" s="33">
        <v>3.2677332010577</v>
      </c>
      <c r="L66" s="33">
        <v>99.988736680751998</v>
      </c>
      <c r="N66" s="33">
        <v>3.3904414699004501</v>
      </c>
      <c r="O66" s="32">
        <f>N66 - $C$45*(N66/$C$44)</f>
        <v>2.4217439070717504</v>
      </c>
      <c r="P66" s="34">
        <f>100-L65</f>
        <v>2.9060109574940043</v>
      </c>
    </row>
    <row r="67" spans="11:16" x14ac:dyDescent="0.25">
      <c r="K67" s="33">
        <v>3.12864538073375</v>
      </c>
      <c r="L67" s="33">
        <v>102.72863232721799</v>
      </c>
      <c r="N67" s="33">
        <v>3.2</v>
      </c>
      <c r="O67" s="32">
        <f>N67 - $C$45*(N67/$C$44)</f>
        <v>2.285714285714286</v>
      </c>
      <c r="P67" s="34">
        <f>100-L66</f>
        <v>1.1263319248001835E-2</v>
      </c>
    </row>
    <row r="68" spans="11:16" x14ac:dyDescent="0.25">
      <c r="K68" s="33">
        <v>2.9895471175972501</v>
      </c>
      <c r="L68" s="33">
        <v>105.162404382997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8F94B3-4833-4B26-82CA-7DD2644755B7}">
  <dimension ref="B2:R209"/>
  <sheetViews>
    <sheetView workbookViewId="0">
      <selection activeCell="O8" sqref="O8"/>
    </sheetView>
  </sheetViews>
  <sheetFormatPr defaultRowHeight="15" x14ac:dyDescent="0.25"/>
  <cols>
    <col min="2" max="2" width="11.7109375" customWidth="1"/>
    <col min="21" max="21" width="10.28515625" bestFit="1" customWidth="1"/>
    <col min="22" max="22" width="12.5703125" bestFit="1" customWidth="1"/>
    <col min="23" max="23" width="11.5703125" bestFit="1" customWidth="1"/>
    <col min="24" max="24" width="11.28515625" customWidth="1"/>
  </cols>
  <sheetData>
    <row r="2" spans="2:18" x14ac:dyDescent="0.25">
      <c r="B2" t="s">
        <v>73</v>
      </c>
      <c r="C2">
        <v>0</v>
      </c>
      <c r="D2">
        <v>1</v>
      </c>
      <c r="E2">
        <v>2</v>
      </c>
      <c r="F2">
        <v>3</v>
      </c>
      <c r="G2">
        <v>4</v>
      </c>
      <c r="H2">
        <v>5</v>
      </c>
      <c r="I2">
        <v>6</v>
      </c>
      <c r="J2">
        <v>7</v>
      </c>
      <c r="K2">
        <v>8</v>
      </c>
      <c r="L2">
        <v>9</v>
      </c>
      <c r="M2">
        <v>10</v>
      </c>
      <c r="N2">
        <v>11</v>
      </c>
      <c r="O2">
        <v>12</v>
      </c>
      <c r="P2">
        <v>13</v>
      </c>
      <c r="Q2">
        <v>14</v>
      </c>
      <c r="R2">
        <v>15</v>
      </c>
    </row>
    <row r="3" spans="2:18" x14ac:dyDescent="0.25">
      <c r="B3" t="s">
        <v>380</v>
      </c>
    </row>
    <row r="4" spans="2:18" x14ac:dyDescent="0.25">
      <c r="C4" s="18" t="s">
        <v>0</v>
      </c>
      <c r="D4" s="18" t="s">
        <v>116</v>
      </c>
      <c r="E4" s="18" t="s">
        <v>103</v>
      </c>
      <c r="F4" s="18" t="s">
        <v>117</v>
      </c>
      <c r="G4" s="18" t="s">
        <v>118</v>
      </c>
      <c r="H4" s="18" t="s">
        <v>119</v>
      </c>
      <c r="I4" s="18" t="s">
        <v>120</v>
      </c>
      <c r="J4" s="18" t="s">
        <v>121</v>
      </c>
      <c r="K4" s="18" t="s">
        <v>122</v>
      </c>
      <c r="L4" s="18" t="s">
        <v>123</v>
      </c>
      <c r="M4" s="18" t="s">
        <v>124</v>
      </c>
      <c r="N4" s="18" t="s">
        <v>125</v>
      </c>
      <c r="O4" s="18" t="s">
        <v>126</v>
      </c>
      <c r="P4" s="18" t="s">
        <v>127</v>
      </c>
      <c r="Q4" s="18" t="s">
        <v>128</v>
      </c>
      <c r="R4" s="18" t="s">
        <v>93</v>
      </c>
    </row>
    <row r="5" spans="2:18" x14ac:dyDescent="0.25">
      <c r="B5" s="17" t="s">
        <v>379</v>
      </c>
      <c r="C5" s="2" t="s">
        <v>378</v>
      </c>
      <c r="D5" s="2" t="s">
        <v>377</v>
      </c>
      <c r="E5" s="2" t="s">
        <v>376</v>
      </c>
      <c r="F5" s="2" t="s">
        <v>375</v>
      </c>
      <c r="G5" s="2" t="s">
        <v>374</v>
      </c>
      <c r="H5" s="2" t="s">
        <v>373</v>
      </c>
      <c r="I5" s="2" t="s">
        <v>372</v>
      </c>
      <c r="J5" s="2" t="s">
        <v>371</v>
      </c>
      <c r="K5" s="2" t="s">
        <v>370</v>
      </c>
      <c r="L5" s="2" t="s">
        <v>369</v>
      </c>
      <c r="M5" s="2" t="s">
        <v>368</v>
      </c>
      <c r="N5" s="2" t="s">
        <v>367</v>
      </c>
      <c r="O5" s="2" t="s">
        <v>366</v>
      </c>
      <c r="P5" s="2" t="s">
        <v>365</v>
      </c>
      <c r="Q5" s="2" t="s">
        <v>364</v>
      </c>
      <c r="R5" s="2" t="s">
        <v>363</v>
      </c>
    </row>
    <row r="6" spans="2:18" x14ac:dyDescent="0.25">
      <c r="B6" s="16" t="s">
        <v>362</v>
      </c>
      <c r="C6" s="2" t="s">
        <v>161</v>
      </c>
      <c r="D6" s="2"/>
      <c r="E6" s="2"/>
      <c r="F6" s="2"/>
      <c r="G6" s="2" t="s">
        <v>160</v>
      </c>
      <c r="H6" s="2"/>
      <c r="I6" s="2"/>
      <c r="J6" s="2"/>
      <c r="K6" s="2"/>
      <c r="L6" s="2"/>
      <c r="M6" s="2"/>
      <c r="N6" s="2"/>
      <c r="O6" s="2"/>
      <c r="P6" s="2"/>
      <c r="Q6" s="2"/>
      <c r="R6" s="15"/>
    </row>
    <row r="7" spans="2:18" x14ac:dyDescent="0.25">
      <c r="B7" s="16" t="s">
        <v>361</v>
      </c>
      <c r="C7" s="2" t="s">
        <v>160</v>
      </c>
      <c r="D7" s="2"/>
      <c r="E7" s="2"/>
      <c r="F7" s="2"/>
      <c r="G7" s="2" t="s">
        <v>161</v>
      </c>
      <c r="H7" s="2"/>
      <c r="I7" s="2"/>
      <c r="J7" s="2"/>
      <c r="K7" s="2"/>
      <c r="L7" s="2"/>
      <c r="M7" s="2"/>
      <c r="N7" s="2"/>
      <c r="O7" s="2"/>
      <c r="P7" s="2"/>
      <c r="Q7" s="2"/>
      <c r="R7" s="15"/>
    </row>
    <row r="8" spans="2:18" x14ac:dyDescent="0.25">
      <c r="B8" s="16" t="s">
        <v>360</v>
      </c>
      <c r="C8" s="2"/>
      <c r="D8" s="2"/>
      <c r="E8" s="2"/>
      <c r="F8" s="2"/>
      <c r="G8" s="2" t="s">
        <v>161</v>
      </c>
      <c r="H8" s="2"/>
      <c r="I8" s="2" t="s">
        <v>160</v>
      </c>
      <c r="J8" s="2"/>
      <c r="K8" s="2"/>
      <c r="L8" s="2"/>
      <c r="M8" s="2"/>
      <c r="N8" s="2"/>
      <c r="O8" s="2"/>
      <c r="P8" s="2"/>
      <c r="Q8" s="2"/>
      <c r="R8" s="15"/>
    </row>
    <row r="9" spans="2:18" x14ac:dyDescent="0.25">
      <c r="B9" s="16" t="s">
        <v>359</v>
      </c>
      <c r="C9" s="2"/>
      <c r="D9" s="2"/>
      <c r="E9" s="2"/>
      <c r="F9" s="2"/>
      <c r="G9" s="2" t="s">
        <v>160</v>
      </c>
      <c r="H9" s="2"/>
      <c r="I9" s="2" t="s">
        <v>161</v>
      </c>
      <c r="J9" s="2"/>
      <c r="K9" s="2"/>
      <c r="L9" s="2"/>
      <c r="M9" s="2"/>
      <c r="N9" s="2"/>
      <c r="O9" s="2"/>
      <c r="P9" s="2"/>
      <c r="Q9" s="2"/>
      <c r="R9" s="15"/>
    </row>
    <row r="10" spans="2:18" x14ac:dyDescent="0.25">
      <c r="B10" s="16" t="s">
        <v>358</v>
      </c>
      <c r="C10" s="2"/>
      <c r="D10" s="2"/>
      <c r="E10" s="2"/>
      <c r="F10" s="2"/>
      <c r="G10" s="2"/>
      <c r="H10" s="2"/>
      <c r="I10" s="2" t="s">
        <v>161</v>
      </c>
      <c r="J10" s="2"/>
      <c r="K10" s="2" t="s">
        <v>160</v>
      </c>
      <c r="L10" s="2"/>
      <c r="M10" s="2"/>
      <c r="N10" s="2"/>
      <c r="O10" s="2"/>
      <c r="P10" s="2"/>
      <c r="Q10" s="2"/>
      <c r="R10" s="15"/>
    </row>
    <row r="11" spans="2:18" x14ac:dyDescent="0.25">
      <c r="B11" s="16" t="s">
        <v>357</v>
      </c>
      <c r="C11" s="2"/>
      <c r="D11" s="2"/>
      <c r="E11" s="2"/>
      <c r="F11" s="2"/>
      <c r="G11" s="2"/>
      <c r="H11" s="2"/>
      <c r="I11" s="2" t="s">
        <v>160</v>
      </c>
      <c r="J11" s="2"/>
      <c r="K11" s="2" t="s">
        <v>161</v>
      </c>
      <c r="L11" s="2"/>
      <c r="M11" s="2"/>
      <c r="N11" s="2"/>
      <c r="O11" s="2"/>
      <c r="P11" s="2"/>
      <c r="Q11" s="2"/>
      <c r="R11" s="15"/>
    </row>
    <row r="12" spans="2:18" x14ac:dyDescent="0.25">
      <c r="B12" s="16" t="s">
        <v>356</v>
      </c>
      <c r="C12" s="2"/>
      <c r="D12" s="2"/>
      <c r="E12" s="2"/>
      <c r="F12" s="2"/>
      <c r="G12" s="2"/>
      <c r="H12" s="2"/>
      <c r="I12" s="2"/>
      <c r="J12" s="2"/>
      <c r="K12" s="2" t="s">
        <v>161</v>
      </c>
      <c r="L12" s="2"/>
      <c r="M12" s="2" t="s">
        <v>160</v>
      </c>
      <c r="N12" s="2"/>
      <c r="O12" s="2"/>
      <c r="P12" s="2"/>
      <c r="Q12" s="2"/>
      <c r="R12" s="15"/>
    </row>
    <row r="13" spans="2:18" x14ac:dyDescent="0.25">
      <c r="B13" s="16" t="s">
        <v>355</v>
      </c>
      <c r="C13" s="2"/>
      <c r="D13" s="2"/>
      <c r="E13" s="2"/>
      <c r="F13" s="2"/>
      <c r="G13" s="2"/>
      <c r="H13" s="2"/>
      <c r="I13" s="2"/>
      <c r="J13" s="2"/>
      <c r="K13" s="2" t="s">
        <v>160</v>
      </c>
      <c r="L13" s="2"/>
      <c r="M13" s="2" t="s">
        <v>161</v>
      </c>
      <c r="N13" s="2"/>
      <c r="O13" s="2"/>
      <c r="P13" s="2"/>
      <c r="Q13" s="2"/>
      <c r="R13" s="15"/>
    </row>
    <row r="14" spans="2:18" x14ac:dyDescent="0.25">
      <c r="B14" s="16" t="s">
        <v>354</v>
      </c>
      <c r="C14" s="2"/>
      <c r="D14" s="2"/>
      <c r="E14" s="2"/>
      <c r="F14" s="2"/>
      <c r="G14" s="2"/>
      <c r="H14" s="2"/>
      <c r="I14" s="2"/>
      <c r="J14" s="2"/>
      <c r="K14" s="2"/>
      <c r="L14" s="2"/>
      <c r="M14" s="2" t="s">
        <v>161</v>
      </c>
      <c r="N14" s="2"/>
      <c r="O14" s="2" t="s">
        <v>160</v>
      </c>
      <c r="P14" s="2"/>
      <c r="Q14" s="2"/>
      <c r="R14" s="15"/>
    </row>
    <row r="15" spans="2:18" x14ac:dyDescent="0.25">
      <c r="B15" s="16" t="s">
        <v>353</v>
      </c>
      <c r="C15" s="2"/>
      <c r="D15" s="2" t="s">
        <v>161</v>
      </c>
      <c r="E15" s="2"/>
      <c r="F15" s="2"/>
      <c r="G15" s="2" t="s">
        <v>160</v>
      </c>
      <c r="H15" s="2"/>
      <c r="I15" s="2"/>
      <c r="J15" s="2"/>
      <c r="K15" s="2"/>
      <c r="L15" s="2"/>
      <c r="M15" s="2"/>
      <c r="N15" s="2"/>
      <c r="O15" s="2"/>
      <c r="P15" s="2"/>
      <c r="Q15" s="2"/>
      <c r="R15" s="15"/>
    </row>
    <row r="16" spans="2:18" x14ac:dyDescent="0.25">
      <c r="B16" s="16" t="s">
        <v>352</v>
      </c>
      <c r="C16" s="2"/>
      <c r="D16" s="2" t="s">
        <v>160</v>
      </c>
      <c r="E16" s="2"/>
      <c r="F16" s="2"/>
      <c r="G16" s="2" t="s">
        <v>161</v>
      </c>
      <c r="H16" s="2"/>
      <c r="I16" s="2"/>
      <c r="J16" s="2"/>
      <c r="K16" s="2"/>
      <c r="L16" s="2"/>
      <c r="M16" s="2"/>
      <c r="N16" s="2"/>
      <c r="O16" s="2"/>
      <c r="P16" s="2"/>
      <c r="Q16" s="2"/>
      <c r="R16" s="15"/>
    </row>
    <row r="17" spans="2:18" x14ac:dyDescent="0.25">
      <c r="B17" s="16" t="s">
        <v>351</v>
      </c>
      <c r="C17" s="2" t="s">
        <v>161</v>
      </c>
      <c r="D17" s="2"/>
      <c r="E17" s="2"/>
      <c r="F17" s="2"/>
      <c r="G17" s="2"/>
      <c r="H17" s="2"/>
      <c r="I17" s="2" t="s">
        <v>160</v>
      </c>
      <c r="J17" s="2"/>
      <c r="K17" s="2"/>
      <c r="L17" s="2"/>
      <c r="M17" s="2"/>
      <c r="N17" s="2"/>
      <c r="O17" s="2"/>
      <c r="P17" s="2"/>
      <c r="Q17" s="2"/>
      <c r="R17" s="15"/>
    </row>
    <row r="18" spans="2:18" x14ac:dyDescent="0.25">
      <c r="B18" s="16" t="s">
        <v>350</v>
      </c>
      <c r="C18" s="2" t="s">
        <v>160</v>
      </c>
      <c r="D18" s="2"/>
      <c r="E18" s="2"/>
      <c r="F18" s="2"/>
      <c r="G18" s="2"/>
      <c r="H18" s="2"/>
      <c r="I18" s="2" t="s">
        <v>161</v>
      </c>
      <c r="J18" s="2"/>
      <c r="K18" s="2"/>
      <c r="L18" s="2"/>
      <c r="M18" s="2"/>
      <c r="N18" s="2"/>
      <c r="O18" s="2"/>
      <c r="P18" s="2"/>
      <c r="Q18" s="2"/>
      <c r="R18" s="15"/>
    </row>
    <row r="19" spans="2:18" x14ac:dyDescent="0.25">
      <c r="B19" s="16" t="s">
        <v>349</v>
      </c>
      <c r="C19" s="2"/>
      <c r="D19" s="2"/>
      <c r="E19" s="2"/>
      <c r="F19" s="2"/>
      <c r="G19" s="2" t="s">
        <v>161</v>
      </c>
      <c r="H19" s="2"/>
      <c r="I19" s="2"/>
      <c r="J19" s="2"/>
      <c r="K19" s="2" t="s">
        <v>160</v>
      </c>
      <c r="L19" s="2"/>
      <c r="M19" s="2"/>
      <c r="N19" s="2"/>
      <c r="O19" s="2"/>
      <c r="P19" s="2"/>
      <c r="Q19" s="2"/>
      <c r="R19" s="15"/>
    </row>
    <row r="20" spans="2:18" x14ac:dyDescent="0.25">
      <c r="B20" s="16" t="s">
        <v>348</v>
      </c>
      <c r="C20" s="2"/>
      <c r="D20" s="2"/>
      <c r="E20" s="2"/>
      <c r="F20" s="2"/>
      <c r="G20" s="2" t="s">
        <v>160</v>
      </c>
      <c r="H20" s="2"/>
      <c r="I20" s="2"/>
      <c r="J20" s="2"/>
      <c r="K20" s="2" t="s">
        <v>161</v>
      </c>
      <c r="L20" s="2"/>
      <c r="M20" s="2"/>
      <c r="N20" s="2"/>
      <c r="O20" s="2"/>
      <c r="P20" s="2"/>
      <c r="Q20" s="2"/>
      <c r="R20" s="15"/>
    </row>
    <row r="21" spans="2:18" x14ac:dyDescent="0.25">
      <c r="B21" s="16" t="s">
        <v>347</v>
      </c>
      <c r="C21" s="2"/>
      <c r="D21" s="2"/>
      <c r="E21" s="2"/>
      <c r="F21" s="2"/>
      <c r="G21" s="2"/>
      <c r="H21" s="2"/>
      <c r="I21" s="2" t="s">
        <v>161</v>
      </c>
      <c r="J21" s="2"/>
      <c r="K21" s="2"/>
      <c r="L21" s="2"/>
      <c r="M21" s="2" t="s">
        <v>160</v>
      </c>
      <c r="N21" s="2"/>
      <c r="O21" s="2"/>
      <c r="P21" s="2"/>
      <c r="Q21" s="2"/>
      <c r="R21" s="15"/>
    </row>
    <row r="22" spans="2:18" x14ac:dyDescent="0.25">
      <c r="B22" s="16" t="s">
        <v>346</v>
      </c>
      <c r="C22" s="2"/>
      <c r="D22" s="2"/>
      <c r="E22" s="2"/>
      <c r="F22" s="2"/>
      <c r="G22" s="2"/>
      <c r="H22" s="2"/>
      <c r="I22" s="2" t="s">
        <v>160</v>
      </c>
      <c r="J22" s="2"/>
      <c r="K22" s="2"/>
      <c r="L22" s="2"/>
      <c r="M22" s="2" t="s">
        <v>161</v>
      </c>
      <c r="N22" s="2"/>
      <c r="O22" s="2"/>
      <c r="P22" s="2"/>
      <c r="Q22" s="2"/>
      <c r="R22" s="15"/>
    </row>
    <row r="23" spans="2:18" x14ac:dyDescent="0.25">
      <c r="B23" s="16" t="s">
        <v>345</v>
      </c>
      <c r="C23" s="2"/>
      <c r="D23" s="2"/>
      <c r="E23" s="2"/>
      <c r="F23" s="2"/>
      <c r="G23" s="2"/>
      <c r="H23" s="2"/>
      <c r="I23" s="2"/>
      <c r="J23" s="2"/>
      <c r="K23" s="2" t="s">
        <v>161</v>
      </c>
      <c r="L23" s="2"/>
      <c r="M23" s="2"/>
      <c r="N23" s="2"/>
      <c r="O23" s="2" t="s">
        <v>160</v>
      </c>
      <c r="P23" s="2"/>
      <c r="Q23" s="2"/>
      <c r="R23" s="15"/>
    </row>
    <row r="24" spans="2:18" x14ac:dyDescent="0.25">
      <c r="B24" s="16" t="s">
        <v>344</v>
      </c>
      <c r="C24" s="2"/>
      <c r="D24" s="2"/>
      <c r="E24" s="2"/>
      <c r="F24" s="2"/>
      <c r="G24" s="2"/>
      <c r="H24" s="2"/>
      <c r="I24" s="2"/>
      <c r="J24" s="2"/>
      <c r="K24" s="2" t="s">
        <v>160</v>
      </c>
      <c r="L24" s="2"/>
      <c r="M24" s="2"/>
      <c r="N24" s="2"/>
      <c r="O24" s="2" t="s">
        <v>161</v>
      </c>
      <c r="P24" s="2"/>
      <c r="Q24" s="2"/>
      <c r="R24" s="15"/>
    </row>
    <row r="25" spans="2:18" x14ac:dyDescent="0.25">
      <c r="B25" s="16" t="s">
        <v>343</v>
      </c>
      <c r="C25" s="2"/>
      <c r="D25" s="2"/>
      <c r="E25" s="2"/>
      <c r="F25" s="2"/>
      <c r="G25" s="2"/>
      <c r="H25" s="2"/>
      <c r="I25" s="2"/>
      <c r="J25" s="2"/>
      <c r="K25" s="2"/>
      <c r="L25" s="2"/>
      <c r="M25" s="2" t="s">
        <v>161</v>
      </c>
      <c r="N25" s="2"/>
      <c r="O25" s="2"/>
      <c r="P25" s="2" t="s">
        <v>160</v>
      </c>
      <c r="Q25" s="2"/>
      <c r="R25" s="15"/>
    </row>
    <row r="26" spans="2:18" x14ac:dyDescent="0.25">
      <c r="B26" s="16" t="s">
        <v>342</v>
      </c>
      <c r="C26" s="2"/>
      <c r="D26" s="2"/>
      <c r="E26" s="2" t="s">
        <v>161</v>
      </c>
      <c r="F26" s="2"/>
      <c r="G26" s="2" t="s">
        <v>160</v>
      </c>
      <c r="H26" s="2"/>
      <c r="I26" s="2"/>
      <c r="J26" s="2"/>
      <c r="K26" s="2"/>
      <c r="L26" s="2"/>
      <c r="M26" s="2"/>
      <c r="N26" s="2"/>
      <c r="O26" s="2"/>
      <c r="P26" s="2"/>
      <c r="Q26" s="2"/>
      <c r="R26" s="15"/>
    </row>
    <row r="27" spans="2:18" x14ac:dyDescent="0.25">
      <c r="B27" s="16" t="s">
        <v>341</v>
      </c>
      <c r="C27" s="2"/>
      <c r="D27" s="2"/>
      <c r="E27" s="2" t="s">
        <v>160</v>
      </c>
      <c r="F27" s="2"/>
      <c r="G27" s="2" t="s">
        <v>161</v>
      </c>
      <c r="H27" s="2"/>
      <c r="I27" s="2"/>
      <c r="J27" s="2"/>
      <c r="K27" s="2"/>
      <c r="L27" s="2"/>
      <c r="M27" s="2"/>
      <c r="N27" s="2"/>
      <c r="O27" s="2"/>
      <c r="P27" s="2"/>
      <c r="Q27" s="2"/>
      <c r="R27" s="15"/>
    </row>
    <row r="28" spans="2:18" x14ac:dyDescent="0.25">
      <c r="B28" s="16" t="s">
        <v>340</v>
      </c>
      <c r="C28" s="2"/>
      <c r="D28" s="2" t="s">
        <v>161</v>
      </c>
      <c r="E28" s="2"/>
      <c r="F28" s="2"/>
      <c r="G28" s="2"/>
      <c r="H28" s="2"/>
      <c r="I28" s="2" t="s">
        <v>160</v>
      </c>
      <c r="J28" s="2"/>
      <c r="K28" s="2"/>
      <c r="L28" s="2"/>
      <c r="M28" s="2"/>
      <c r="N28" s="2"/>
      <c r="O28" s="2"/>
      <c r="P28" s="2"/>
      <c r="Q28" s="2"/>
      <c r="R28" s="15"/>
    </row>
    <row r="29" spans="2:18" x14ac:dyDescent="0.25">
      <c r="B29" s="16" t="s">
        <v>339</v>
      </c>
      <c r="C29" s="2"/>
      <c r="D29" s="2" t="s">
        <v>160</v>
      </c>
      <c r="E29" s="2"/>
      <c r="F29" s="2"/>
      <c r="G29" s="2"/>
      <c r="H29" s="2"/>
      <c r="I29" s="2" t="s">
        <v>161</v>
      </c>
      <c r="J29" s="2"/>
      <c r="K29" s="2"/>
      <c r="L29" s="2"/>
      <c r="M29" s="2"/>
      <c r="N29" s="2"/>
      <c r="O29" s="2"/>
      <c r="P29" s="2"/>
      <c r="Q29" s="2"/>
      <c r="R29" s="15"/>
    </row>
    <row r="30" spans="2:18" x14ac:dyDescent="0.25">
      <c r="B30" s="16" t="s">
        <v>338</v>
      </c>
      <c r="C30" s="2" t="s">
        <v>161</v>
      </c>
      <c r="D30" s="2"/>
      <c r="E30" s="2"/>
      <c r="F30" s="2"/>
      <c r="G30" s="2"/>
      <c r="H30" s="2"/>
      <c r="I30" s="2"/>
      <c r="J30" s="2"/>
      <c r="K30" s="2" t="s">
        <v>160</v>
      </c>
      <c r="L30" s="2"/>
      <c r="M30" s="2"/>
      <c r="N30" s="2"/>
      <c r="O30" s="2"/>
      <c r="P30" s="2"/>
      <c r="Q30" s="2"/>
      <c r="R30" s="15"/>
    </row>
    <row r="31" spans="2:18" x14ac:dyDescent="0.25">
      <c r="B31" s="16" t="s">
        <v>337</v>
      </c>
      <c r="C31" s="2" t="s">
        <v>160</v>
      </c>
      <c r="D31" s="2"/>
      <c r="E31" s="2"/>
      <c r="F31" s="2"/>
      <c r="G31" s="2"/>
      <c r="H31" s="2"/>
      <c r="I31" s="2"/>
      <c r="J31" s="2"/>
      <c r="K31" s="2" t="s">
        <v>161</v>
      </c>
      <c r="L31" s="2"/>
      <c r="M31" s="2"/>
      <c r="N31" s="2"/>
      <c r="O31" s="2"/>
      <c r="P31" s="2"/>
      <c r="Q31" s="2"/>
      <c r="R31" s="15"/>
    </row>
    <row r="32" spans="2:18" x14ac:dyDescent="0.25">
      <c r="B32" s="16" t="s">
        <v>336</v>
      </c>
      <c r="C32" s="2"/>
      <c r="D32" s="2"/>
      <c r="E32" s="2"/>
      <c r="F32" s="2"/>
      <c r="G32" s="2" t="s">
        <v>161</v>
      </c>
      <c r="H32" s="2"/>
      <c r="I32" s="2"/>
      <c r="J32" s="2"/>
      <c r="K32" s="2"/>
      <c r="L32" s="2"/>
      <c r="M32" s="2" t="s">
        <v>160</v>
      </c>
      <c r="N32" s="2"/>
      <c r="O32" s="2"/>
      <c r="P32" s="2"/>
      <c r="Q32" s="2"/>
      <c r="R32" s="15"/>
    </row>
    <row r="33" spans="2:18" x14ac:dyDescent="0.25">
      <c r="B33" s="16" t="s">
        <v>335</v>
      </c>
      <c r="C33" s="2"/>
      <c r="D33" s="2"/>
      <c r="E33" s="2"/>
      <c r="F33" s="2"/>
      <c r="G33" s="2" t="s">
        <v>160</v>
      </c>
      <c r="H33" s="2"/>
      <c r="I33" s="2"/>
      <c r="J33" s="2"/>
      <c r="K33" s="2"/>
      <c r="L33" s="2"/>
      <c r="M33" s="2" t="s">
        <v>161</v>
      </c>
      <c r="N33" s="2"/>
      <c r="O33" s="2"/>
      <c r="P33" s="2"/>
      <c r="Q33" s="2"/>
      <c r="R33" s="15"/>
    </row>
    <row r="34" spans="2:18" x14ac:dyDescent="0.25">
      <c r="B34" s="16" t="s">
        <v>334</v>
      </c>
      <c r="C34" s="2"/>
      <c r="D34" s="2"/>
      <c r="E34" s="2"/>
      <c r="F34" s="2"/>
      <c r="G34" s="2"/>
      <c r="H34" s="2"/>
      <c r="I34" s="2" t="s">
        <v>161</v>
      </c>
      <c r="J34" s="2"/>
      <c r="K34" s="2"/>
      <c r="L34" s="2"/>
      <c r="M34" s="2"/>
      <c r="N34" s="2"/>
      <c r="O34" s="2" t="s">
        <v>160</v>
      </c>
      <c r="P34" s="2"/>
      <c r="Q34" s="2"/>
      <c r="R34" s="15"/>
    </row>
    <row r="35" spans="2:18" x14ac:dyDescent="0.25">
      <c r="B35" s="16" t="s">
        <v>333</v>
      </c>
      <c r="C35" s="2"/>
      <c r="D35" s="2"/>
      <c r="E35" s="2"/>
      <c r="F35" s="2"/>
      <c r="G35" s="2"/>
      <c r="H35" s="2"/>
      <c r="I35" s="2" t="s">
        <v>160</v>
      </c>
      <c r="J35" s="2"/>
      <c r="K35" s="2"/>
      <c r="L35" s="2"/>
      <c r="M35" s="2"/>
      <c r="N35" s="2"/>
      <c r="O35" s="2" t="s">
        <v>161</v>
      </c>
      <c r="P35" s="2"/>
      <c r="Q35" s="2"/>
      <c r="R35" s="15"/>
    </row>
    <row r="36" spans="2:18" x14ac:dyDescent="0.25">
      <c r="B36" s="16" t="s">
        <v>332</v>
      </c>
      <c r="C36" s="2"/>
      <c r="D36" s="2"/>
      <c r="E36" s="2"/>
      <c r="F36" s="2"/>
      <c r="G36" s="2"/>
      <c r="H36" s="2"/>
      <c r="I36" s="2"/>
      <c r="J36" s="2"/>
      <c r="K36" s="2" t="s">
        <v>161</v>
      </c>
      <c r="L36" s="2"/>
      <c r="M36" s="2"/>
      <c r="N36" s="2"/>
      <c r="O36" s="2"/>
      <c r="P36" s="2" t="s">
        <v>160</v>
      </c>
      <c r="Q36" s="2"/>
      <c r="R36" s="15"/>
    </row>
    <row r="37" spans="2:18" x14ac:dyDescent="0.25">
      <c r="B37" s="16" t="s">
        <v>331</v>
      </c>
      <c r="C37" s="2"/>
      <c r="D37" s="2"/>
      <c r="E37" s="2"/>
      <c r="F37" s="2"/>
      <c r="G37" s="2"/>
      <c r="H37" s="2"/>
      <c r="I37" s="2"/>
      <c r="J37" s="2"/>
      <c r="K37" s="2" t="s">
        <v>160</v>
      </c>
      <c r="L37" s="2"/>
      <c r="M37" s="2"/>
      <c r="N37" s="2"/>
      <c r="O37" s="2"/>
      <c r="P37" s="2" t="s">
        <v>161</v>
      </c>
      <c r="Q37" s="2"/>
      <c r="R37" s="15"/>
    </row>
    <row r="38" spans="2:18" x14ac:dyDescent="0.25">
      <c r="B38" s="16" t="s">
        <v>330</v>
      </c>
      <c r="C38" s="2"/>
      <c r="D38" s="2"/>
      <c r="E38" s="2"/>
      <c r="F38" s="2"/>
      <c r="G38" s="2"/>
      <c r="H38" s="2"/>
      <c r="I38" s="2"/>
      <c r="J38" s="2"/>
      <c r="K38" s="2"/>
      <c r="L38" s="2"/>
      <c r="M38" s="2" t="s">
        <v>161</v>
      </c>
      <c r="N38" s="2"/>
      <c r="O38" s="2"/>
      <c r="P38" s="2"/>
      <c r="Q38" s="2" t="s">
        <v>160</v>
      </c>
      <c r="R38" s="15"/>
    </row>
    <row r="39" spans="2:18" x14ac:dyDescent="0.25">
      <c r="B39" s="16" t="s">
        <v>329</v>
      </c>
      <c r="C39" s="2"/>
      <c r="D39" s="2"/>
      <c r="E39" s="2"/>
      <c r="F39" s="2" t="s">
        <v>161</v>
      </c>
      <c r="G39" s="2" t="s">
        <v>160</v>
      </c>
      <c r="H39" s="2"/>
      <c r="I39" s="2"/>
      <c r="J39" s="2"/>
      <c r="K39" s="2"/>
      <c r="L39" s="2"/>
      <c r="M39" s="2"/>
      <c r="N39" s="2"/>
      <c r="O39" s="2"/>
      <c r="P39" s="2"/>
      <c r="Q39" s="2"/>
      <c r="R39" s="15"/>
    </row>
    <row r="40" spans="2:18" x14ac:dyDescent="0.25">
      <c r="B40" s="16" t="s">
        <v>328</v>
      </c>
      <c r="C40" s="2"/>
      <c r="D40" s="2"/>
      <c r="E40" s="2"/>
      <c r="F40" s="2" t="s">
        <v>160</v>
      </c>
      <c r="G40" s="2" t="s">
        <v>161</v>
      </c>
      <c r="H40" s="2"/>
      <c r="I40" s="2"/>
      <c r="J40" s="2"/>
      <c r="K40" s="2"/>
      <c r="L40" s="2"/>
      <c r="M40" s="2"/>
      <c r="N40" s="2"/>
      <c r="O40" s="2"/>
      <c r="P40" s="2"/>
      <c r="Q40" s="2"/>
      <c r="R40" s="15"/>
    </row>
    <row r="41" spans="2:18" x14ac:dyDescent="0.25">
      <c r="B41" s="16" t="s">
        <v>327</v>
      </c>
      <c r="C41" s="2"/>
      <c r="D41" s="2"/>
      <c r="E41" s="2" t="s">
        <v>161</v>
      </c>
      <c r="F41" s="2"/>
      <c r="G41" s="2"/>
      <c r="H41" s="2"/>
      <c r="I41" s="2" t="s">
        <v>160</v>
      </c>
      <c r="J41" s="2"/>
      <c r="K41" s="2"/>
      <c r="L41" s="2"/>
      <c r="M41" s="2"/>
      <c r="N41" s="2"/>
      <c r="O41" s="2"/>
      <c r="P41" s="2"/>
      <c r="Q41" s="2"/>
      <c r="R41" s="15"/>
    </row>
    <row r="42" spans="2:18" x14ac:dyDescent="0.25">
      <c r="B42" s="16" t="s">
        <v>326</v>
      </c>
      <c r="C42" s="2"/>
      <c r="D42" s="2"/>
      <c r="E42" s="2" t="s">
        <v>160</v>
      </c>
      <c r="F42" s="2"/>
      <c r="G42" s="2"/>
      <c r="H42" s="2"/>
      <c r="I42" s="2" t="s">
        <v>161</v>
      </c>
      <c r="J42" s="2"/>
      <c r="K42" s="2"/>
      <c r="L42" s="2"/>
      <c r="M42" s="2"/>
      <c r="N42" s="2"/>
      <c r="O42" s="2"/>
      <c r="P42" s="2"/>
      <c r="Q42" s="2"/>
      <c r="R42" s="15"/>
    </row>
    <row r="43" spans="2:18" x14ac:dyDescent="0.25">
      <c r="B43" s="16" t="s">
        <v>325</v>
      </c>
      <c r="C43" s="2"/>
      <c r="D43" s="2" t="s">
        <v>161</v>
      </c>
      <c r="E43" s="2"/>
      <c r="F43" s="2"/>
      <c r="G43" s="2"/>
      <c r="H43" s="2"/>
      <c r="I43" s="2"/>
      <c r="J43" s="2"/>
      <c r="K43" s="2" t="s">
        <v>160</v>
      </c>
      <c r="L43" s="2"/>
      <c r="M43" s="2"/>
      <c r="N43" s="2"/>
      <c r="O43" s="2"/>
      <c r="P43" s="2"/>
      <c r="Q43" s="2"/>
      <c r="R43" s="15"/>
    </row>
    <row r="44" spans="2:18" x14ac:dyDescent="0.25">
      <c r="B44" s="16" t="s">
        <v>324</v>
      </c>
      <c r="C44" s="2"/>
      <c r="D44" s="2" t="s">
        <v>160</v>
      </c>
      <c r="E44" s="2"/>
      <c r="F44" s="2"/>
      <c r="G44" s="2"/>
      <c r="H44" s="2"/>
      <c r="I44" s="2"/>
      <c r="J44" s="2"/>
      <c r="K44" s="2" t="s">
        <v>161</v>
      </c>
      <c r="L44" s="2"/>
      <c r="M44" s="2"/>
      <c r="N44" s="2"/>
      <c r="O44" s="2"/>
      <c r="P44" s="2"/>
      <c r="Q44" s="2"/>
      <c r="R44" s="15"/>
    </row>
    <row r="45" spans="2:18" x14ac:dyDescent="0.25">
      <c r="B45" s="16" t="s">
        <v>323</v>
      </c>
      <c r="C45" s="2" t="s">
        <v>161</v>
      </c>
      <c r="D45" s="2"/>
      <c r="E45" s="2"/>
      <c r="F45" s="2"/>
      <c r="G45" s="2"/>
      <c r="H45" s="2"/>
      <c r="I45" s="2"/>
      <c r="J45" s="2"/>
      <c r="K45" s="2"/>
      <c r="L45" s="2"/>
      <c r="M45" s="2" t="s">
        <v>160</v>
      </c>
      <c r="N45" s="2"/>
      <c r="O45" s="2"/>
      <c r="P45" s="2"/>
      <c r="Q45" s="2"/>
      <c r="R45" s="15"/>
    </row>
    <row r="46" spans="2:18" x14ac:dyDescent="0.25">
      <c r="B46" s="16" t="s">
        <v>322</v>
      </c>
      <c r="C46" s="2" t="s">
        <v>160</v>
      </c>
      <c r="D46" s="2"/>
      <c r="E46" s="2"/>
      <c r="F46" s="2"/>
      <c r="G46" s="2"/>
      <c r="H46" s="2"/>
      <c r="I46" s="2"/>
      <c r="J46" s="2"/>
      <c r="K46" s="2"/>
      <c r="L46" s="2"/>
      <c r="M46" s="2" t="s">
        <v>161</v>
      </c>
      <c r="N46" s="2"/>
      <c r="O46" s="2"/>
      <c r="P46" s="2"/>
      <c r="Q46" s="2"/>
      <c r="R46" s="15"/>
    </row>
    <row r="47" spans="2:18" x14ac:dyDescent="0.25">
      <c r="B47" s="16" t="s">
        <v>321</v>
      </c>
      <c r="C47" s="2"/>
      <c r="D47" s="2"/>
      <c r="E47" s="2"/>
      <c r="F47" s="2"/>
      <c r="G47" s="2" t="s">
        <v>161</v>
      </c>
      <c r="H47" s="2"/>
      <c r="I47" s="2"/>
      <c r="J47" s="2"/>
      <c r="K47" s="2"/>
      <c r="L47" s="2"/>
      <c r="M47" s="2"/>
      <c r="N47" s="2"/>
      <c r="O47" s="2" t="s">
        <v>160</v>
      </c>
      <c r="P47" s="2"/>
      <c r="Q47" s="2"/>
      <c r="R47" s="15"/>
    </row>
    <row r="48" spans="2:18" x14ac:dyDescent="0.25">
      <c r="B48" s="16" t="s">
        <v>320</v>
      </c>
      <c r="C48" s="2"/>
      <c r="D48" s="2"/>
      <c r="E48" s="2"/>
      <c r="F48" s="2"/>
      <c r="G48" s="2" t="s">
        <v>160</v>
      </c>
      <c r="H48" s="2"/>
      <c r="I48" s="2"/>
      <c r="J48" s="2"/>
      <c r="K48" s="2"/>
      <c r="L48" s="2"/>
      <c r="M48" s="2"/>
      <c r="N48" s="2"/>
      <c r="O48" s="2" t="s">
        <v>161</v>
      </c>
      <c r="P48" s="2"/>
      <c r="Q48" s="2"/>
      <c r="R48" s="15"/>
    </row>
    <row r="49" spans="2:18" x14ac:dyDescent="0.25">
      <c r="B49" s="16" t="s">
        <v>319</v>
      </c>
      <c r="C49" s="2"/>
      <c r="D49" s="2"/>
      <c r="E49" s="2"/>
      <c r="F49" s="2"/>
      <c r="G49" s="2"/>
      <c r="H49" s="2"/>
      <c r="I49" s="2" t="s">
        <v>161</v>
      </c>
      <c r="J49" s="2"/>
      <c r="K49" s="2"/>
      <c r="L49" s="2"/>
      <c r="M49" s="2"/>
      <c r="N49" s="2"/>
      <c r="O49" s="2"/>
      <c r="P49" s="2" t="s">
        <v>160</v>
      </c>
      <c r="Q49" s="2"/>
      <c r="R49" s="15"/>
    </row>
    <row r="50" spans="2:18" x14ac:dyDescent="0.25">
      <c r="B50" s="16" t="s">
        <v>318</v>
      </c>
      <c r="C50" s="2"/>
      <c r="D50" s="2"/>
      <c r="E50" s="2"/>
      <c r="F50" s="2"/>
      <c r="G50" s="2"/>
      <c r="H50" s="2"/>
      <c r="I50" s="2" t="s">
        <v>160</v>
      </c>
      <c r="J50" s="2"/>
      <c r="K50" s="2"/>
      <c r="L50" s="2"/>
      <c r="M50" s="2"/>
      <c r="N50" s="2"/>
      <c r="O50" s="2"/>
      <c r="P50" s="2" t="s">
        <v>161</v>
      </c>
      <c r="Q50" s="2"/>
      <c r="R50" s="15"/>
    </row>
    <row r="51" spans="2:18" x14ac:dyDescent="0.25">
      <c r="B51" s="16" t="s">
        <v>317</v>
      </c>
      <c r="C51" s="2"/>
      <c r="D51" s="2"/>
      <c r="E51" s="2"/>
      <c r="F51" s="2"/>
      <c r="G51" s="2"/>
      <c r="H51" s="2"/>
      <c r="I51" s="2"/>
      <c r="J51" s="2"/>
      <c r="K51" s="2" t="s">
        <v>161</v>
      </c>
      <c r="L51" s="2"/>
      <c r="M51" s="2"/>
      <c r="N51" s="2"/>
      <c r="O51" s="2"/>
      <c r="P51" s="2"/>
      <c r="Q51" s="2" t="s">
        <v>160</v>
      </c>
      <c r="R51" s="15"/>
    </row>
    <row r="52" spans="2:18" x14ac:dyDescent="0.25">
      <c r="B52" s="16" t="s">
        <v>316</v>
      </c>
      <c r="C52" s="2"/>
      <c r="D52" s="2"/>
      <c r="E52" s="2"/>
      <c r="F52" s="2"/>
      <c r="G52" s="2"/>
      <c r="H52" s="2"/>
      <c r="I52" s="2"/>
      <c r="J52" s="2"/>
      <c r="K52" s="2" t="s">
        <v>160</v>
      </c>
      <c r="L52" s="2"/>
      <c r="M52" s="2"/>
      <c r="N52" s="2"/>
      <c r="O52" s="2"/>
      <c r="P52" s="2"/>
      <c r="Q52" s="2" t="s">
        <v>161</v>
      </c>
      <c r="R52" s="15"/>
    </row>
    <row r="53" spans="2:18" x14ac:dyDescent="0.25">
      <c r="B53" s="16" t="s">
        <v>315</v>
      </c>
      <c r="C53" s="2"/>
      <c r="D53" s="2"/>
      <c r="E53" s="2"/>
      <c r="F53" s="2"/>
      <c r="G53" s="2"/>
      <c r="H53" s="2"/>
      <c r="I53" s="2"/>
      <c r="J53" s="2"/>
      <c r="K53" s="2"/>
      <c r="L53" s="2"/>
      <c r="M53" s="2" t="s">
        <v>161</v>
      </c>
      <c r="N53" s="2"/>
      <c r="O53" s="2"/>
      <c r="P53" s="2"/>
      <c r="Q53" s="2"/>
      <c r="R53" s="15" t="s">
        <v>160</v>
      </c>
    </row>
    <row r="54" spans="2:18" x14ac:dyDescent="0.25">
      <c r="B54" s="16" t="s">
        <v>314</v>
      </c>
      <c r="C54" s="2"/>
      <c r="D54" s="2"/>
      <c r="E54" s="2"/>
      <c r="F54" s="2"/>
      <c r="G54" s="2" t="s">
        <v>161</v>
      </c>
      <c r="H54" s="2" t="s">
        <v>160</v>
      </c>
      <c r="I54" s="2"/>
      <c r="J54" s="2"/>
      <c r="K54" s="2"/>
      <c r="L54" s="2"/>
      <c r="M54" s="2"/>
      <c r="N54" s="2"/>
      <c r="O54" s="2"/>
      <c r="P54" s="2"/>
      <c r="Q54" s="2"/>
      <c r="R54" s="15"/>
    </row>
    <row r="55" spans="2:18" x14ac:dyDescent="0.25">
      <c r="B55" s="16" t="s">
        <v>313</v>
      </c>
      <c r="C55" s="2"/>
      <c r="D55" s="2"/>
      <c r="E55" s="2"/>
      <c r="F55" s="2" t="s">
        <v>161</v>
      </c>
      <c r="G55" s="2"/>
      <c r="H55" s="2"/>
      <c r="I55" s="2" t="s">
        <v>160</v>
      </c>
      <c r="J55" s="2"/>
      <c r="K55" s="2"/>
      <c r="L55" s="2"/>
      <c r="M55" s="2"/>
      <c r="N55" s="2"/>
      <c r="O55" s="2"/>
      <c r="P55" s="2"/>
      <c r="Q55" s="2"/>
      <c r="R55" s="15"/>
    </row>
    <row r="56" spans="2:18" x14ac:dyDescent="0.25">
      <c r="B56" s="16" t="s">
        <v>312</v>
      </c>
      <c r="C56" s="2"/>
      <c r="D56" s="2"/>
      <c r="E56" s="2"/>
      <c r="F56" s="2" t="s">
        <v>160</v>
      </c>
      <c r="G56" s="2"/>
      <c r="H56" s="2"/>
      <c r="I56" s="2" t="s">
        <v>161</v>
      </c>
      <c r="J56" s="2"/>
      <c r="K56" s="2"/>
      <c r="L56" s="2"/>
      <c r="M56" s="2"/>
      <c r="N56" s="2"/>
      <c r="O56" s="2"/>
      <c r="P56" s="2"/>
      <c r="Q56" s="2"/>
      <c r="R56" s="15"/>
    </row>
    <row r="57" spans="2:18" x14ac:dyDescent="0.25">
      <c r="B57" s="16" t="s">
        <v>311</v>
      </c>
      <c r="C57" s="2"/>
      <c r="D57" s="2"/>
      <c r="E57" s="2" t="s">
        <v>161</v>
      </c>
      <c r="F57" s="2"/>
      <c r="G57" s="2"/>
      <c r="H57" s="2"/>
      <c r="I57" s="2"/>
      <c r="J57" s="2"/>
      <c r="K57" s="2" t="s">
        <v>160</v>
      </c>
      <c r="L57" s="2"/>
      <c r="M57" s="2"/>
      <c r="N57" s="2"/>
      <c r="O57" s="2"/>
      <c r="P57" s="2"/>
      <c r="Q57" s="2"/>
      <c r="R57" s="15"/>
    </row>
    <row r="58" spans="2:18" x14ac:dyDescent="0.25">
      <c r="B58" s="16" t="s">
        <v>310</v>
      </c>
      <c r="C58" s="2"/>
      <c r="D58" s="2"/>
      <c r="E58" s="2" t="s">
        <v>160</v>
      </c>
      <c r="F58" s="2"/>
      <c r="G58" s="2"/>
      <c r="H58" s="2"/>
      <c r="I58" s="2"/>
      <c r="J58" s="2"/>
      <c r="K58" s="2" t="s">
        <v>161</v>
      </c>
      <c r="L58" s="2"/>
      <c r="M58" s="2"/>
      <c r="N58" s="2"/>
      <c r="O58" s="2"/>
      <c r="P58" s="2"/>
      <c r="Q58" s="2"/>
      <c r="R58" s="15"/>
    </row>
    <row r="59" spans="2:18" x14ac:dyDescent="0.25">
      <c r="B59" s="16" t="s">
        <v>309</v>
      </c>
      <c r="C59" s="2"/>
      <c r="D59" s="2" t="s">
        <v>161</v>
      </c>
      <c r="E59" s="2"/>
      <c r="F59" s="2"/>
      <c r="G59" s="2"/>
      <c r="H59" s="2"/>
      <c r="I59" s="2"/>
      <c r="J59" s="2"/>
      <c r="K59" s="2"/>
      <c r="L59" s="2"/>
      <c r="M59" s="2" t="s">
        <v>160</v>
      </c>
      <c r="N59" s="2"/>
      <c r="O59" s="2"/>
      <c r="P59" s="2"/>
      <c r="Q59" s="2"/>
      <c r="R59" s="15"/>
    </row>
    <row r="60" spans="2:18" x14ac:dyDescent="0.25">
      <c r="B60" s="16" t="s">
        <v>308</v>
      </c>
      <c r="C60" s="2"/>
      <c r="D60" s="2" t="s">
        <v>160</v>
      </c>
      <c r="E60" s="2"/>
      <c r="F60" s="2"/>
      <c r="G60" s="2"/>
      <c r="H60" s="2"/>
      <c r="I60" s="2"/>
      <c r="J60" s="2"/>
      <c r="K60" s="2"/>
      <c r="L60" s="2"/>
      <c r="M60" s="2" t="s">
        <v>161</v>
      </c>
      <c r="N60" s="2"/>
      <c r="O60" s="2"/>
      <c r="P60" s="2"/>
      <c r="Q60" s="2"/>
      <c r="R60" s="15"/>
    </row>
    <row r="61" spans="2:18" x14ac:dyDescent="0.25">
      <c r="B61" s="16" t="s">
        <v>307</v>
      </c>
      <c r="C61" s="2" t="s">
        <v>161</v>
      </c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 t="s">
        <v>160</v>
      </c>
      <c r="P61" s="2"/>
      <c r="Q61" s="2"/>
      <c r="R61" s="15"/>
    </row>
    <row r="62" spans="2:18" x14ac:dyDescent="0.25">
      <c r="B62" s="16" t="s">
        <v>306</v>
      </c>
      <c r="C62" s="2" t="s">
        <v>160</v>
      </c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 t="s">
        <v>161</v>
      </c>
      <c r="P62" s="2"/>
      <c r="Q62" s="2"/>
      <c r="R62" s="15"/>
    </row>
    <row r="63" spans="2:18" x14ac:dyDescent="0.25">
      <c r="B63" s="16" t="s">
        <v>305</v>
      </c>
      <c r="C63" s="2"/>
      <c r="D63" s="2"/>
      <c r="E63" s="2"/>
      <c r="F63" s="2"/>
      <c r="G63" s="2" t="s">
        <v>161</v>
      </c>
      <c r="H63" s="2"/>
      <c r="I63" s="2"/>
      <c r="J63" s="2"/>
      <c r="K63" s="2"/>
      <c r="L63" s="2"/>
      <c r="M63" s="2"/>
      <c r="N63" s="2"/>
      <c r="O63" s="2"/>
      <c r="P63" s="2" t="s">
        <v>160</v>
      </c>
      <c r="Q63" s="2"/>
      <c r="R63" s="15"/>
    </row>
    <row r="64" spans="2:18" x14ac:dyDescent="0.25">
      <c r="B64" s="16" t="s">
        <v>304</v>
      </c>
      <c r="C64" s="2"/>
      <c r="D64" s="2"/>
      <c r="E64" s="2"/>
      <c r="F64" s="2"/>
      <c r="G64" s="2" t="s">
        <v>160</v>
      </c>
      <c r="H64" s="2"/>
      <c r="I64" s="2"/>
      <c r="J64" s="2"/>
      <c r="K64" s="2"/>
      <c r="L64" s="2"/>
      <c r="M64" s="2"/>
      <c r="N64" s="2"/>
      <c r="O64" s="2"/>
      <c r="P64" s="2" t="s">
        <v>161</v>
      </c>
      <c r="Q64" s="2"/>
      <c r="R64" s="15"/>
    </row>
    <row r="65" spans="2:18" x14ac:dyDescent="0.25">
      <c r="B65" s="16" t="s">
        <v>303</v>
      </c>
      <c r="C65" s="2"/>
      <c r="D65" s="2"/>
      <c r="E65" s="2"/>
      <c r="F65" s="2"/>
      <c r="G65" s="2"/>
      <c r="H65" s="2"/>
      <c r="I65" s="2" t="s">
        <v>161</v>
      </c>
      <c r="J65" s="2"/>
      <c r="K65" s="2"/>
      <c r="L65" s="2"/>
      <c r="M65" s="2"/>
      <c r="N65" s="2"/>
      <c r="O65" s="2"/>
      <c r="P65" s="2"/>
      <c r="Q65" s="2" t="s">
        <v>160</v>
      </c>
      <c r="R65" s="15"/>
    </row>
    <row r="66" spans="2:18" x14ac:dyDescent="0.25">
      <c r="B66" s="16" t="s">
        <v>302</v>
      </c>
      <c r="C66" s="2"/>
      <c r="D66" s="2"/>
      <c r="E66" s="2"/>
      <c r="F66" s="2"/>
      <c r="G66" s="2"/>
      <c r="H66" s="2"/>
      <c r="I66" s="2" t="s">
        <v>160</v>
      </c>
      <c r="J66" s="2"/>
      <c r="K66" s="2"/>
      <c r="L66" s="2"/>
      <c r="M66" s="2"/>
      <c r="N66" s="2"/>
      <c r="O66" s="2"/>
      <c r="P66" s="2"/>
      <c r="Q66" s="2" t="s">
        <v>161</v>
      </c>
      <c r="R66" s="15"/>
    </row>
    <row r="67" spans="2:18" x14ac:dyDescent="0.25">
      <c r="B67" s="16" t="s">
        <v>301</v>
      </c>
      <c r="C67" s="2"/>
      <c r="D67" s="2"/>
      <c r="E67" s="2"/>
      <c r="F67" s="2"/>
      <c r="G67" s="2"/>
      <c r="H67" s="2"/>
      <c r="I67" s="2"/>
      <c r="J67" s="2"/>
      <c r="K67" s="2" t="s">
        <v>161</v>
      </c>
      <c r="L67" s="2"/>
      <c r="M67" s="2"/>
      <c r="N67" s="2"/>
      <c r="O67" s="2"/>
      <c r="P67" s="2"/>
      <c r="Q67" s="2"/>
      <c r="R67" s="15" t="s">
        <v>160</v>
      </c>
    </row>
    <row r="68" spans="2:18" x14ac:dyDescent="0.25">
      <c r="B68" s="16" t="s">
        <v>300</v>
      </c>
      <c r="C68" s="2"/>
      <c r="D68" s="2"/>
      <c r="E68" s="2"/>
      <c r="F68" s="2"/>
      <c r="G68" s="2"/>
      <c r="H68" s="2"/>
      <c r="I68" s="2"/>
      <c r="J68" s="2"/>
      <c r="K68" s="2" t="s">
        <v>160</v>
      </c>
      <c r="L68" s="2"/>
      <c r="M68" s="2"/>
      <c r="N68" s="2"/>
      <c r="O68" s="2"/>
      <c r="P68" s="2"/>
      <c r="Q68" s="2"/>
      <c r="R68" s="15" t="s">
        <v>161</v>
      </c>
    </row>
    <row r="69" spans="2:18" x14ac:dyDescent="0.25">
      <c r="B69" s="16" t="s">
        <v>299</v>
      </c>
      <c r="C69" s="2"/>
      <c r="D69" s="2"/>
      <c r="E69" s="2"/>
      <c r="F69" s="2"/>
      <c r="G69" s="2"/>
      <c r="H69" s="2" t="s">
        <v>161</v>
      </c>
      <c r="I69" s="2" t="s">
        <v>160</v>
      </c>
      <c r="J69" s="2"/>
      <c r="K69" s="2"/>
      <c r="L69" s="2"/>
      <c r="M69" s="2"/>
      <c r="N69" s="2"/>
      <c r="O69" s="2"/>
      <c r="P69" s="2"/>
      <c r="Q69" s="2"/>
      <c r="R69" s="15"/>
    </row>
    <row r="70" spans="2:18" x14ac:dyDescent="0.25">
      <c r="B70" s="16" t="s">
        <v>298</v>
      </c>
      <c r="C70" s="2"/>
      <c r="D70" s="2"/>
      <c r="E70" s="2"/>
      <c r="F70" s="2"/>
      <c r="G70" s="2"/>
      <c r="H70" s="2" t="s">
        <v>160</v>
      </c>
      <c r="I70" s="2" t="s">
        <v>161</v>
      </c>
      <c r="J70" s="2"/>
      <c r="K70" s="2"/>
      <c r="L70" s="2"/>
      <c r="M70" s="2"/>
      <c r="N70" s="2"/>
      <c r="O70" s="2"/>
      <c r="P70" s="2"/>
      <c r="Q70" s="2"/>
      <c r="R70" s="15"/>
    </row>
    <row r="71" spans="2:18" x14ac:dyDescent="0.25">
      <c r="B71" s="16" t="s">
        <v>297</v>
      </c>
      <c r="C71" s="2"/>
      <c r="D71" s="2"/>
      <c r="E71" s="2"/>
      <c r="F71" s="2" t="s">
        <v>161</v>
      </c>
      <c r="G71" s="2"/>
      <c r="H71" s="2"/>
      <c r="I71" s="2"/>
      <c r="J71" s="2"/>
      <c r="K71" s="2" t="s">
        <v>160</v>
      </c>
      <c r="L71" s="2"/>
      <c r="M71" s="2"/>
      <c r="N71" s="2"/>
      <c r="O71" s="2"/>
      <c r="P71" s="2"/>
      <c r="Q71" s="2"/>
      <c r="R71" s="15"/>
    </row>
    <row r="72" spans="2:18" x14ac:dyDescent="0.25">
      <c r="B72" s="16" t="s">
        <v>296</v>
      </c>
      <c r="C72" s="2"/>
      <c r="D72" s="2"/>
      <c r="E72" s="2"/>
      <c r="F72" s="2" t="s">
        <v>160</v>
      </c>
      <c r="G72" s="2"/>
      <c r="H72" s="2"/>
      <c r="I72" s="2"/>
      <c r="J72" s="2"/>
      <c r="K72" s="2" t="s">
        <v>161</v>
      </c>
      <c r="L72" s="2"/>
      <c r="M72" s="2"/>
      <c r="N72" s="2"/>
      <c r="O72" s="2"/>
      <c r="P72" s="2"/>
      <c r="Q72" s="2"/>
      <c r="R72" s="15"/>
    </row>
    <row r="73" spans="2:18" x14ac:dyDescent="0.25">
      <c r="B73" s="16" t="s">
        <v>295</v>
      </c>
      <c r="C73" s="2"/>
      <c r="D73" s="2"/>
      <c r="E73" s="2" t="s">
        <v>161</v>
      </c>
      <c r="F73" s="2"/>
      <c r="G73" s="2"/>
      <c r="H73" s="2"/>
      <c r="I73" s="2"/>
      <c r="J73" s="2"/>
      <c r="K73" s="2"/>
      <c r="L73" s="2"/>
      <c r="M73" s="2" t="s">
        <v>160</v>
      </c>
      <c r="N73" s="2"/>
      <c r="O73" s="2"/>
      <c r="P73" s="2"/>
      <c r="Q73" s="2"/>
      <c r="R73" s="15"/>
    </row>
    <row r="74" spans="2:18" x14ac:dyDescent="0.25">
      <c r="B74" s="16" t="s">
        <v>294</v>
      </c>
      <c r="C74" s="2"/>
      <c r="D74" s="2"/>
      <c r="E74" s="2" t="s">
        <v>160</v>
      </c>
      <c r="F74" s="2"/>
      <c r="G74" s="2"/>
      <c r="H74" s="2"/>
      <c r="I74" s="2"/>
      <c r="J74" s="2"/>
      <c r="K74" s="2"/>
      <c r="L74" s="2"/>
      <c r="M74" s="2" t="s">
        <v>161</v>
      </c>
      <c r="N74" s="2"/>
      <c r="O74" s="2"/>
      <c r="P74" s="2"/>
      <c r="Q74" s="2"/>
      <c r="R74" s="15"/>
    </row>
    <row r="75" spans="2:18" x14ac:dyDescent="0.25">
      <c r="B75" s="16" t="s">
        <v>293</v>
      </c>
      <c r="C75" s="2"/>
      <c r="D75" s="2" t="s">
        <v>161</v>
      </c>
      <c r="E75" s="2"/>
      <c r="F75" s="2"/>
      <c r="G75" s="2"/>
      <c r="H75" s="2"/>
      <c r="I75" s="2"/>
      <c r="J75" s="2"/>
      <c r="K75" s="2"/>
      <c r="L75" s="2"/>
      <c r="M75" s="2"/>
      <c r="N75" s="2"/>
      <c r="O75" s="2" t="s">
        <v>160</v>
      </c>
      <c r="P75" s="2"/>
      <c r="Q75" s="2"/>
      <c r="R75" s="15"/>
    </row>
    <row r="76" spans="2:18" x14ac:dyDescent="0.25">
      <c r="B76" s="16" t="s">
        <v>292</v>
      </c>
      <c r="C76" s="2"/>
      <c r="D76" s="2" t="s">
        <v>160</v>
      </c>
      <c r="E76" s="2"/>
      <c r="F76" s="2"/>
      <c r="G76" s="2"/>
      <c r="H76" s="2"/>
      <c r="I76" s="2"/>
      <c r="J76" s="2"/>
      <c r="K76" s="2"/>
      <c r="L76" s="2"/>
      <c r="M76" s="2"/>
      <c r="N76" s="2"/>
      <c r="O76" s="2" t="s">
        <v>161</v>
      </c>
      <c r="P76" s="2"/>
      <c r="Q76" s="2"/>
      <c r="R76" s="15"/>
    </row>
    <row r="77" spans="2:18" x14ac:dyDescent="0.25">
      <c r="B77" s="16" t="s">
        <v>291</v>
      </c>
      <c r="C77" s="2" t="s">
        <v>161</v>
      </c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 t="s">
        <v>160</v>
      </c>
      <c r="Q77" s="2"/>
      <c r="R77" s="15"/>
    </row>
    <row r="78" spans="2:18" x14ac:dyDescent="0.25">
      <c r="B78" s="16" t="s">
        <v>290</v>
      </c>
      <c r="C78" s="2" t="s">
        <v>160</v>
      </c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 t="s">
        <v>161</v>
      </c>
      <c r="Q78" s="2"/>
      <c r="R78" s="15"/>
    </row>
    <row r="79" spans="2:18" x14ac:dyDescent="0.25">
      <c r="B79" s="16" t="s">
        <v>289</v>
      </c>
      <c r="C79" s="2"/>
      <c r="D79" s="2"/>
      <c r="E79" s="2"/>
      <c r="F79" s="2"/>
      <c r="G79" s="2" t="s">
        <v>161</v>
      </c>
      <c r="H79" s="2"/>
      <c r="I79" s="2"/>
      <c r="J79" s="2"/>
      <c r="K79" s="2"/>
      <c r="L79" s="2"/>
      <c r="M79" s="2"/>
      <c r="N79" s="2"/>
      <c r="O79" s="2"/>
      <c r="P79" s="2"/>
      <c r="Q79" s="2" t="s">
        <v>160</v>
      </c>
      <c r="R79" s="15"/>
    </row>
    <row r="80" spans="2:18" x14ac:dyDescent="0.25">
      <c r="B80" s="16" t="s">
        <v>288</v>
      </c>
      <c r="C80" s="2"/>
      <c r="D80" s="2"/>
      <c r="E80" s="2"/>
      <c r="F80" s="2"/>
      <c r="G80" s="2" t="s">
        <v>160</v>
      </c>
      <c r="H80" s="2"/>
      <c r="I80" s="2"/>
      <c r="J80" s="2"/>
      <c r="K80" s="2"/>
      <c r="L80" s="2"/>
      <c r="M80" s="2"/>
      <c r="N80" s="2"/>
      <c r="O80" s="2"/>
      <c r="P80" s="2"/>
      <c r="Q80" s="2" t="s">
        <v>161</v>
      </c>
      <c r="R80" s="15"/>
    </row>
    <row r="81" spans="2:18" x14ac:dyDescent="0.25">
      <c r="B81" s="16" t="s">
        <v>287</v>
      </c>
      <c r="C81" s="2"/>
      <c r="D81" s="2"/>
      <c r="E81" s="2"/>
      <c r="F81" s="2"/>
      <c r="G81" s="2"/>
      <c r="H81" s="2"/>
      <c r="I81" s="2" t="s">
        <v>161</v>
      </c>
      <c r="J81" s="2"/>
      <c r="K81" s="2"/>
      <c r="L81" s="2"/>
      <c r="M81" s="2"/>
      <c r="N81" s="2"/>
      <c r="O81" s="2"/>
      <c r="P81" s="2"/>
      <c r="Q81" s="2"/>
      <c r="R81" s="15" t="s">
        <v>160</v>
      </c>
    </row>
    <row r="82" spans="2:18" x14ac:dyDescent="0.25">
      <c r="B82" s="16" t="s">
        <v>286</v>
      </c>
      <c r="C82" s="2"/>
      <c r="D82" s="2"/>
      <c r="E82" s="2"/>
      <c r="F82" s="2"/>
      <c r="G82" s="2"/>
      <c r="H82" s="2"/>
      <c r="I82" s="2" t="s">
        <v>160</v>
      </c>
      <c r="J82" s="2"/>
      <c r="K82" s="2"/>
      <c r="L82" s="2"/>
      <c r="M82" s="2"/>
      <c r="N82" s="2"/>
      <c r="O82" s="2"/>
      <c r="P82" s="2"/>
      <c r="Q82" s="2"/>
      <c r="R82" s="15" t="s">
        <v>161</v>
      </c>
    </row>
    <row r="83" spans="2:18" x14ac:dyDescent="0.25">
      <c r="B83" s="16" t="s">
        <v>285</v>
      </c>
      <c r="C83" s="2"/>
      <c r="D83" s="2"/>
      <c r="E83" s="2"/>
      <c r="F83" s="2"/>
      <c r="G83" s="2"/>
      <c r="H83" s="2"/>
      <c r="I83" s="2"/>
      <c r="J83" s="2"/>
      <c r="K83" s="2" t="s">
        <v>161</v>
      </c>
      <c r="L83" s="2"/>
      <c r="M83" s="2"/>
      <c r="N83" s="2" t="s">
        <v>160</v>
      </c>
      <c r="O83" s="2"/>
      <c r="P83" s="2"/>
      <c r="Q83" s="2"/>
      <c r="R83" s="15"/>
    </row>
    <row r="84" spans="2:18" x14ac:dyDescent="0.25">
      <c r="B84" s="16" t="s">
        <v>284</v>
      </c>
      <c r="C84" s="2"/>
      <c r="D84" s="2"/>
      <c r="E84" s="2"/>
      <c r="F84" s="2"/>
      <c r="G84" s="2"/>
      <c r="H84" s="2"/>
      <c r="I84" s="2" t="s">
        <v>161</v>
      </c>
      <c r="J84" s="2" t="s">
        <v>160</v>
      </c>
      <c r="K84" s="2"/>
      <c r="L84" s="2"/>
      <c r="M84" s="2"/>
      <c r="N84" s="2"/>
      <c r="O84" s="2"/>
      <c r="P84" s="2"/>
      <c r="Q84" s="2"/>
      <c r="R84" s="15"/>
    </row>
    <row r="85" spans="2:18" x14ac:dyDescent="0.25">
      <c r="B85" s="16" t="s">
        <v>283</v>
      </c>
      <c r="C85" s="2"/>
      <c r="D85" s="2"/>
      <c r="E85" s="2"/>
      <c r="F85" s="2"/>
      <c r="G85" s="2"/>
      <c r="H85" s="2" t="s">
        <v>161</v>
      </c>
      <c r="I85" s="2"/>
      <c r="J85" s="2"/>
      <c r="K85" s="2" t="s">
        <v>160</v>
      </c>
      <c r="L85" s="2"/>
      <c r="M85" s="2"/>
      <c r="N85" s="2"/>
      <c r="O85" s="2"/>
      <c r="P85" s="2"/>
      <c r="Q85" s="2"/>
      <c r="R85" s="15"/>
    </row>
    <row r="86" spans="2:18" x14ac:dyDescent="0.25">
      <c r="B86" s="16" t="s">
        <v>282</v>
      </c>
      <c r="C86" s="2"/>
      <c r="D86" s="2"/>
      <c r="E86" s="2"/>
      <c r="F86" s="2"/>
      <c r="G86" s="2"/>
      <c r="H86" s="2" t="s">
        <v>160</v>
      </c>
      <c r="I86" s="2"/>
      <c r="J86" s="2"/>
      <c r="K86" s="2" t="s">
        <v>161</v>
      </c>
      <c r="L86" s="2"/>
      <c r="M86" s="2"/>
      <c r="N86" s="2"/>
      <c r="O86" s="2"/>
      <c r="P86" s="2"/>
      <c r="Q86" s="2"/>
      <c r="R86" s="15"/>
    </row>
    <row r="87" spans="2:18" x14ac:dyDescent="0.25">
      <c r="B87" s="16" t="s">
        <v>281</v>
      </c>
      <c r="C87" s="2"/>
      <c r="D87" s="2"/>
      <c r="E87" s="2"/>
      <c r="F87" s="2" t="s">
        <v>161</v>
      </c>
      <c r="G87" s="2"/>
      <c r="H87" s="2"/>
      <c r="I87" s="2"/>
      <c r="J87" s="2"/>
      <c r="K87" s="2"/>
      <c r="L87" s="2"/>
      <c r="M87" s="2" t="s">
        <v>160</v>
      </c>
      <c r="N87" s="2"/>
      <c r="O87" s="2"/>
      <c r="P87" s="2"/>
      <c r="Q87" s="2"/>
      <c r="R87" s="15"/>
    </row>
    <row r="88" spans="2:18" x14ac:dyDescent="0.25">
      <c r="B88" s="16" t="s">
        <v>280</v>
      </c>
      <c r="C88" s="2"/>
      <c r="D88" s="2"/>
      <c r="E88" s="2"/>
      <c r="F88" s="2" t="s">
        <v>160</v>
      </c>
      <c r="G88" s="2"/>
      <c r="H88" s="2"/>
      <c r="I88" s="2"/>
      <c r="J88" s="2"/>
      <c r="K88" s="2"/>
      <c r="L88" s="2"/>
      <c r="M88" s="2" t="s">
        <v>161</v>
      </c>
      <c r="N88" s="2"/>
      <c r="O88" s="2"/>
      <c r="P88" s="2"/>
      <c r="Q88" s="2"/>
      <c r="R88" s="15"/>
    </row>
    <row r="89" spans="2:18" x14ac:dyDescent="0.25">
      <c r="B89" s="16" t="s">
        <v>279</v>
      </c>
      <c r="C89" s="2"/>
      <c r="D89" s="2"/>
      <c r="E89" s="2" t="s">
        <v>161</v>
      </c>
      <c r="F89" s="2"/>
      <c r="G89" s="2"/>
      <c r="H89" s="2"/>
      <c r="I89" s="2"/>
      <c r="J89" s="2"/>
      <c r="K89" s="2"/>
      <c r="L89" s="2"/>
      <c r="M89" s="2"/>
      <c r="N89" s="2"/>
      <c r="O89" s="2" t="s">
        <v>160</v>
      </c>
      <c r="P89" s="2"/>
      <c r="Q89" s="2"/>
      <c r="R89" s="15"/>
    </row>
    <row r="90" spans="2:18" x14ac:dyDescent="0.25">
      <c r="B90" s="16" t="s">
        <v>278</v>
      </c>
      <c r="C90" s="2"/>
      <c r="D90" s="2"/>
      <c r="E90" s="2" t="s">
        <v>160</v>
      </c>
      <c r="F90" s="2"/>
      <c r="G90" s="2"/>
      <c r="H90" s="2"/>
      <c r="I90" s="2"/>
      <c r="J90" s="2"/>
      <c r="K90" s="2"/>
      <c r="L90" s="2"/>
      <c r="M90" s="2"/>
      <c r="N90" s="2"/>
      <c r="O90" s="2" t="s">
        <v>161</v>
      </c>
      <c r="P90" s="2"/>
      <c r="Q90" s="2"/>
      <c r="R90" s="15"/>
    </row>
    <row r="91" spans="2:18" x14ac:dyDescent="0.25">
      <c r="B91" s="16" t="s">
        <v>277</v>
      </c>
      <c r="C91" s="2"/>
      <c r="D91" s="2" t="s">
        <v>161</v>
      </c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 t="s">
        <v>160</v>
      </c>
      <c r="Q91" s="2"/>
      <c r="R91" s="15"/>
    </row>
    <row r="92" spans="2:18" x14ac:dyDescent="0.25">
      <c r="B92" s="16" t="s">
        <v>276</v>
      </c>
      <c r="C92" s="2"/>
      <c r="D92" s="2" t="s">
        <v>160</v>
      </c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 t="s">
        <v>161</v>
      </c>
      <c r="Q92" s="2"/>
      <c r="R92" s="15"/>
    </row>
    <row r="93" spans="2:18" x14ac:dyDescent="0.25">
      <c r="B93" s="16" t="s">
        <v>275</v>
      </c>
      <c r="C93" s="2" t="s">
        <v>161</v>
      </c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 t="s">
        <v>160</v>
      </c>
      <c r="R93" s="15"/>
    </row>
    <row r="94" spans="2:18" x14ac:dyDescent="0.25">
      <c r="B94" s="16" t="s">
        <v>274</v>
      </c>
      <c r="C94" s="2" t="s">
        <v>160</v>
      </c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 t="s">
        <v>161</v>
      </c>
      <c r="R94" s="15"/>
    </row>
    <row r="95" spans="2:18" x14ac:dyDescent="0.25">
      <c r="B95" s="16" t="s">
        <v>273</v>
      </c>
      <c r="C95" s="2"/>
      <c r="D95" s="2"/>
      <c r="E95" s="2"/>
      <c r="F95" s="2"/>
      <c r="G95" s="2" t="s">
        <v>161</v>
      </c>
      <c r="H95" s="2"/>
      <c r="I95" s="2"/>
      <c r="J95" s="2"/>
      <c r="K95" s="2"/>
      <c r="L95" s="2"/>
      <c r="M95" s="2"/>
      <c r="N95" s="2"/>
      <c r="O95" s="2"/>
      <c r="P95" s="2"/>
      <c r="Q95" s="2"/>
      <c r="R95" s="15" t="s">
        <v>160</v>
      </c>
    </row>
    <row r="96" spans="2:18" x14ac:dyDescent="0.25">
      <c r="B96" s="16" t="s">
        <v>272</v>
      </c>
      <c r="C96" s="2"/>
      <c r="D96" s="2"/>
      <c r="E96" s="2"/>
      <c r="F96" s="2"/>
      <c r="G96" s="2" t="s">
        <v>160</v>
      </c>
      <c r="H96" s="2"/>
      <c r="I96" s="2"/>
      <c r="J96" s="2"/>
      <c r="K96" s="2"/>
      <c r="L96" s="2"/>
      <c r="M96" s="2"/>
      <c r="N96" s="2"/>
      <c r="O96" s="2"/>
      <c r="P96" s="2"/>
      <c r="Q96" s="2"/>
      <c r="R96" s="15" t="s">
        <v>161</v>
      </c>
    </row>
    <row r="97" spans="2:18" x14ac:dyDescent="0.25">
      <c r="B97" s="16" t="s">
        <v>271</v>
      </c>
      <c r="C97" s="2"/>
      <c r="D97" s="2"/>
      <c r="E97" s="2"/>
      <c r="F97" s="2"/>
      <c r="G97" s="2"/>
      <c r="H97" s="2"/>
      <c r="I97" s="2" t="s">
        <v>161</v>
      </c>
      <c r="J97" s="2"/>
      <c r="K97" s="2"/>
      <c r="L97" s="2"/>
      <c r="M97" s="2"/>
      <c r="N97" s="2" t="s">
        <v>160</v>
      </c>
      <c r="O97" s="2"/>
      <c r="P97" s="2"/>
      <c r="Q97" s="2"/>
      <c r="R97" s="15"/>
    </row>
    <row r="98" spans="2:18" x14ac:dyDescent="0.25">
      <c r="B98" s="16" t="s">
        <v>270</v>
      </c>
      <c r="C98" s="2"/>
      <c r="D98" s="2"/>
      <c r="E98" s="2"/>
      <c r="F98" s="2"/>
      <c r="G98" s="2"/>
      <c r="H98" s="2"/>
      <c r="I98" s="2" t="s">
        <v>160</v>
      </c>
      <c r="J98" s="2"/>
      <c r="K98" s="2"/>
      <c r="L98" s="2"/>
      <c r="M98" s="2"/>
      <c r="N98" s="2" t="s">
        <v>161</v>
      </c>
      <c r="O98" s="2"/>
      <c r="P98" s="2"/>
      <c r="Q98" s="2"/>
      <c r="R98" s="15"/>
    </row>
    <row r="99" spans="2:18" x14ac:dyDescent="0.25">
      <c r="B99" s="16" t="s">
        <v>269</v>
      </c>
      <c r="C99" s="2"/>
      <c r="D99" s="2"/>
      <c r="E99" s="2"/>
      <c r="F99" s="2"/>
      <c r="G99" s="2"/>
      <c r="H99" s="2"/>
      <c r="I99" s="2"/>
      <c r="J99" s="2" t="s">
        <v>161</v>
      </c>
      <c r="K99" s="2" t="s">
        <v>160</v>
      </c>
      <c r="L99" s="2"/>
      <c r="M99" s="2"/>
      <c r="N99" s="2"/>
      <c r="O99" s="2"/>
      <c r="P99" s="2"/>
      <c r="Q99" s="2"/>
      <c r="R99" s="15"/>
    </row>
    <row r="100" spans="2:18" x14ac:dyDescent="0.25">
      <c r="B100" s="16" t="s">
        <v>268</v>
      </c>
      <c r="C100" s="2"/>
      <c r="D100" s="2"/>
      <c r="E100" s="2"/>
      <c r="F100" s="2"/>
      <c r="G100" s="2"/>
      <c r="H100" s="2"/>
      <c r="I100" s="2"/>
      <c r="J100" s="2" t="s">
        <v>160</v>
      </c>
      <c r="K100" s="2" t="s">
        <v>161</v>
      </c>
      <c r="L100" s="2"/>
      <c r="M100" s="2"/>
      <c r="N100" s="2"/>
      <c r="O100" s="2"/>
      <c r="P100" s="2"/>
      <c r="Q100" s="2"/>
      <c r="R100" s="15"/>
    </row>
    <row r="101" spans="2:18" x14ac:dyDescent="0.25">
      <c r="B101" s="16" t="s">
        <v>267</v>
      </c>
      <c r="C101" s="2"/>
      <c r="D101" s="2"/>
      <c r="E101" s="2"/>
      <c r="F101" s="2"/>
      <c r="G101" s="2"/>
      <c r="H101" s="2" t="s">
        <v>161</v>
      </c>
      <c r="I101" s="2"/>
      <c r="J101" s="2"/>
      <c r="K101" s="2"/>
      <c r="L101" s="2"/>
      <c r="M101" s="2" t="s">
        <v>160</v>
      </c>
      <c r="N101" s="2"/>
      <c r="O101" s="2"/>
      <c r="P101" s="2"/>
      <c r="Q101" s="2"/>
      <c r="R101" s="15"/>
    </row>
    <row r="102" spans="2:18" x14ac:dyDescent="0.25">
      <c r="B102" s="16" t="s">
        <v>266</v>
      </c>
      <c r="C102" s="2"/>
      <c r="D102" s="2"/>
      <c r="E102" s="2"/>
      <c r="F102" s="2"/>
      <c r="G102" s="2"/>
      <c r="H102" s="2" t="s">
        <v>160</v>
      </c>
      <c r="I102" s="2"/>
      <c r="J102" s="2"/>
      <c r="K102" s="2"/>
      <c r="L102" s="2"/>
      <c r="M102" s="2" t="s">
        <v>161</v>
      </c>
      <c r="N102" s="2"/>
      <c r="O102" s="2"/>
      <c r="P102" s="2"/>
      <c r="Q102" s="2"/>
      <c r="R102" s="15"/>
    </row>
    <row r="103" spans="2:18" x14ac:dyDescent="0.25">
      <c r="B103" s="16" t="s">
        <v>265</v>
      </c>
      <c r="C103" s="2"/>
      <c r="D103" s="2"/>
      <c r="E103" s="2"/>
      <c r="F103" s="2" t="s">
        <v>161</v>
      </c>
      <c r="G103" s="2"/>
      <c r="H103" s="2"/>
      <c r="I103" s="2"/>
      <c r="J103" s="2"/>
      <c r="K103" s="2"/>
      <c r="L103" s="2"/>
      <c r="M103" s="2"/>
      <c r="N103" s="2"/>
      <c r="O103" s="2" t="s">
        <v>160</v>
      </c>
      <c r="P103" s="2"/>
      <c r="Q103" s="2"/>
      <c r="R103" s="15"/>
    </row>
    <row r="104" spans="2:18" x14ac:dyDescent="0.25">
      <c r="B104" s="16" t="s">
        <v>264</v>
      </c>
      <c r="C104" s="2"/>
      <c r="D104" s="2"/>
      <c r="E104" s="2"/>
      <c r="F104" s="2" t="s">
        <v>160</v>
      </c>
      <c r="G104" s="2"/>
      <c r="H104" s="2"/>
      <c r="I104" s="2"/>
      <c r="J104" s="2"/>
      <c r="K104" s="2"/>
      <c r="L104" s="2"/>
      <c r="M104" s="2"/>
      <c r="N104" s="2"/>
      <c r="O104" s="2" t="s">
        <v>161</v>
      </c>
      <c r="P104" s="2"/>
      <c r="Q104" s="2"/>
      <c r="R104" s="15"/>
    </row>
    <row r="105" spans="2:18" x14ac:dyDescent="0.25">
      <c r="B105" s="16" t="s">
        <v>263</v>
      </c>
      <c r="C105" s="2"/>
      <c r="D105" s="2"/>
      <c r="E105" s="2" t="s">
        <v>161</v>
      </c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 t="s">
        <v>160</v>
      </c>
      <c r="Q105" s="2"/>
      <c r="R105" s="15"/>
    </row>
    <row r="106" spans="2:18" x14ac:dyDescent="0.25">
      <c r="B106" s="16" t="s">
        <v>262</v>
      </c>
      <c r="C106" s="2"/>
      <c r="D106" s="2"/>
      <c r="E106" s="2" t="s">
        <v>160</v>
      </c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 t="s">
        <v>161</v>
      </c>
      <c r="Q106" s="2"/>
      <c r="R106" s="15"/>
    </row>
    <row r="107" spans="2:18" x14ac:dyDescent="0.25">
      <c r="B107" s="16" t="s">
        <v>261</v>
      </c>
      <c r="C107" s="2"/>
      <c r="D107" s="2" t="s">
        <v>161</v>
      </c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 t="s">
        <v>160</v>
      </c>
      <c r="R107" s="15"/>
    </row>
    <row r="108" spans="2:18" x14ac:dyDescent="0.25">
      <c r="B108" s="16" t="s">
        <v>260</v>
      </c>
      <c r="C108" s="2"/>
      <c r="D108" s="2" t="s">
        <v>160</v>
      </c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 t="s">
        <v>161</v>
      </c>
      <c r="R108" s="15"/>
    </row>
    <row r="109" spans="2:18" x14ac:dyDescent="0.25">
      <c r="B109" s="16" t="s">
        <v>259</v>
      </c>
      <c r="C109" s="2" t="s">
        <v>161</v>
      </c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15" t="s">
        <v>160</v>
      </c>
    </row>
    <row r="110" spans="2:18" x14ac:dyDescent="0.25">
      <c r="B110" s="16" t="s">
        <v>258</v>
      </c>
      <c r="C110" s="2" t="s">
        <v>160</v>
      </c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15" t="s">
        <v>161</v>
      </c>
    </row>
    <row r="111" spans="2:18" x14ac:dyDescent="0.25">
      <c r="B111" s="16" t="s">
        <v>257</v>
      </c>
      <c r="C111" s="2"/>
      <c r="D111" s="2"/>
      <c r="E111" s="2"/>
      <c r="F111" s="2"/>
      <c r="G111" s="2" t="s">
        <v>161</v>
      </c>
      <c r="H111" s="2"/>
      <c r="I111" s="2"/>
      <c r="J111" s="2"/>
      <c r="K111" s="2"/>
      <c r="L111" s="2"/>
      <c r="M111" s="2"/>
      <c r="N111" s="2" t="s">
        <v>160</v>
      </c>
      <c r="O111" s="2"/>
      <c r="P111" s="2"/>
      <c r="Q111" s="2"/>
      <c r="R111" s="15"/>
    </row>
    <row r="112" spans="2:18" x14ac:dyDescent="0.25">
      <c r="B112" s="16" t="s">
        <v>256</v>
      </c>
      <c r="C112" s="2"/>
      <c r="D112" s="2"/>
      <c r="E112" s="2"/>
      <c r="F112" s="2"/>
      <c r="G112" s="2" t="s">
        <v>160</v>
      </c>
      <c r="H112" s="2"/>
      <c r="I112" s="2"/>
      <c r="J112" s="2"/>
      <c r="K112" s="2"/>
      <c r="L112" s="2"/>
      <c r="M112" s="2"/>
      <c r="N112" s="2" t="s">
        <v>161</v>
      </c>
      <c r="O112" s="2"/>
      <c r="P112" s="2"/>
      <c r="Q112" s="2"/>
      <c r="R112" s="15"/>
    </row>
    <row r="113" spans="2:18" x14ac:dyDescent="0.25">
      <c r="B113" s="16" t="s">
        <v>255</v>
      </c>
      <c r="C113" s="2"/>
      <c r="D113" s="2"/>
      <c r="E113" s="2"/>
      <c r="F113" s="2"/>
      <c r="G113" s="2"/>
      <c r="H113" s="2"/>
      <c r="I113" s="2" t="s">
        <v>161</v>
      </c>
      <c r="J113" s="2"/>
      <c r="K113" s="2"/>
      <c r="L113" s="2" t="s">
        <v>160</v>
      </c>
      <c r="M113" s="2"/>
      <c r="N113" s="2"/>
      <c r="O113" s="2"/>
      <c r="P113" s="2"/>
      <c r="Q113" s="2"/>
      <c r="R113" s="15"/>
    </row>
    <row r="114" spans="2:18" x14ac:dyDescent="0.25">
      <c r="B114" s="16" t="s">
        <v>254</v>
      </c>
      <c r="C114" s="2"/>
      <c r="D114" s="2"/>
      <c r="E114" s="2"/>
      <c r="F114" s="2"/>
      <c r="G114" s="2"/>
      <c r="H114" s="2"/>
      <c r="I114" s="2"/>
      <c r="J114" s="2"/>
      <c r="K114" s="2" t="s">
        <v>161</v>
      </c>
      <c r="L114" s="2" t="s">
        <v>160</v>
      </c>
      <c r="M114" s="2"/>
      <c r="N114" s="2"/>
      <c r="O114" s="2"/>
      <c r="P114" s="2"/>
      <c r="Q114" s="2"/>
      <c r="R114" s="15"/>
    </row>
    <row r="115" spans="2:18" x14ac:dyDescent="0.25">
      <c r="B115" s="16" t="s">
        <v>253</v>
      </c>
      <c r="C115" s="2"/>
      <c r="D115" s="2"/>
      <c r="E115" s="2"/>
      <c r="F115" s="2"/>
      <c r="G115" s="2"/>
      <c r="H115" s="2"/>
      <c r="I115" s="2"/>
      <c r="J115" s="2" t="s">
        <v>161</v>
      </c>
      <c r="K115" s="2"/>
      <c r="L115" s="2"/>
      <c r="M115" s="2" t="s">
        <v>160</v>
      </c>
      <c r="N115" s="2"/>
      <c r="O115" s="2"/>
      <c r="P115" s="2"/>
      <c r="Q115" s="2"/>
      <c r="R115" s="15"/>
    </row>
    <row r="116" spans="2:18" x14ac:dyDescent="0.25">
      <c r="B116" s="16" t="s">
        <v>252</v>
      </c>
      <c r="C116" s="2"/>
      <c r="D116" s="2"/>
      <c r="E116" s="2"/>
      <c r="F116" s="2"/>
      <c r="G116" s="2"/>
      <c r="H116" s="2"/>
      <c r="I116" s="2"/>
      <c r="J116" s="2" t="s">
        <v>160</v>
      </c>
      <c r="K116" s="2"/>
      <c r="L116" s="2"/>
      <c r="M116" s="2" t="s">
        <v>161</v>
      </c>
      <c r="N116" s="2"/>
      <c r="O116" s="2"/>
      <c r="P116" s="2"/>
      <c r="Q116" s="2"/>
      <c r="R116" s="15"/>
    </row>
    <row r="117" spans="2:18" x14ac:dyDescent="0.25">
      <c r="B117" s="16" t="s">
        <v>251</v>
      </c>
      <c r="C117" s="2"/>
      <c r="D117" s="2"/>
      <c r="E117" s="2"/>
      <c r="F117" s="2"/>
      <c r="G117" s="2"/>
      <c r="H117" s="2" t="s">
        <v>161</v>
      </c>
      <c r="I117" s="2"/>
      <c r="J117" s="2"/>
      <c r="K117" s="2"/>
      <c r="L117" s="2"/>
      <c r="M117" s="2"/>
      <c r="N117" s="2"/>
      <c r="O117" s="2" t="s">
        <v>160</v>
      </c>
      <c r="P117" s="2"/>
      <c r="Q117" s="2"/>
      <c r="R117" s="15"/>
    </row>
    <row r="118" spans="2:18" x14ac:dyDescent="0.25">
      <c r="B118" s="16" t="s">
        <v>250</v>
      </c>
      <c r="C118" s="2"/>
      <c r="D118" s="2"/>
      <c r="E118" s="2"/>
      <c r="F118" s="2"/>
      <c r="G118" s="2"/>
      <c r="H118" s="2" t="s">
        <v>160</v>
      </c>
      <c r="I118" s="2"/>
      <c r="J118" s="2"/>
      <c r="K118" s="2"/>
      <c r="L118" s="2"/>
      <c r="M118" s="2"/>
      <c r="N118" s="2"/>
      <c r="O118" s="2" t="s">
        <v>161</v>
      </c>
      <c r="P118" s="2"/>
      <c r="Q118" s="2"/>
      <c r="R118" s="15"/>
    </row>
    <row r="119" spans="2:18" x14ac:dyDescent="0.25">
      <c r="B119" s="16" t="s">
        <v>249</v>
      </c>
      <c r="C119" s="2"/>
      <c r="D119" s="2"/>
      <c r="E119" s="2"/>
      <c r="F119" s="2" t="s">
        <v>161</v>
      </c>
      <c r="G119" s="2"/>
      <c r="H119" s="2"/>
      <c r="I119" s="2"/>
      <c r="J119" s="2"/>
      <c r="K119" s="2"/>
      <c r="L119" s="2"/>
      <c r="M119" s="2"/>
      <c r="N119" s="2"/>
      <c r="O119" s="2"/>
      <c r="P119" s="2" t="s">
        <v>160</v>
      </c>
      <c r="Q119" s="2"/>
      <c r="R119" s="15"/>
    </row>
    <row r="120" spans="2:18" x14ac:dyDescent="0.25">
      <c r="B120" s="16" t="s">
        <v>248</v>
      </c>
      <c r="C120" s="2"/>
      <c r="D120" s="2"/>
      <c r="E120" s="2"/>
      <c r="F120" s="2" t="s">
        <v>160</v>
      </c>
      <c r="G120" s="2"/>
      <c r="H120" s="2"/>
      <c r="I120" s="2"/>
      <c r="J120" s="2"/>
      <c r="K120" s="2"/>
      <c r="L120" s="2"/>
      <c r="M120" s="2"/>
      <c r="N120" s="2"/>
      <c r="O120" s="2"/>
      <c r="P120" s="2" t="s">
        <v>161</v>
      </c>
      <c r="Q120" s="2"/>
      <c r="R120" s="15"/>
    </row>
    <row r="121" spans="2:18" x14ac:dyDescent="0.25">
      <c r="B121" s="16" t="s">
        <v>247</v>
      </c>
      <c r="C121" s="2"/>
      <c r="D121" s="2"/>
      <c r="E121" s="2" t="s">
        <v>161</v>
      </c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 t="s">
        <v>160</v>
      </c>
      <c r="R121" s="15"/>
    </row>
    <row r="122" spans="2:18" x14ac:dyDescent="0.25">
      <c r="B122" s="16" t="s">
        <v>246</v>
      </c>
      <c r="C122" s="2"/>
      <c r="D122" s="2"/>
      <c r="E122" s="2" t="s">
        <v>160</v>
      </c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 t="s">
        <v>161</v>
      </c>
      <c r="R122" s="15"/>
    </row>
    <row r="123" spans="2:18" x14ac:dyDescent="0.25">
      <c r="B123" s="16" t="s">
        <v>245</v>
      </c>
      <c r="C123" s="2"/>
      <c r="D123" s="2" t="s">
        <v>161</v>
      </c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15" t="s">
        <v>160</v>
      </c>
    </row>
    <row r="124" spans="2:18" x14ac:dyDescent="0.25">
      <c r="B124" s="16" t="s">
        <v>244</v>
      </c>
      <c r="C124" s="2"/>
      <c r="D124" s="2" t="s">
        <v>160</v>
      </c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15" t="s">
        <v>161</v>
      </c>
    </row>
    <row r="125" spans="2:18" x14ac:dyDescent="0.25">
      <c r="B125" s="16" t="s">
        <v>243</v>
      </c>
      <c r="C125" s="2" t="s">
        <v>161</v>
      </c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 t="s">
        <v>160</v>
      </c>
      <c r="O125" s="2"/>
      <c r="P125" s="2"/>
      <c r="Q125" s="2"/>
      <c r="R125" s="15"/>
    </row>
    <row r="126" spans="2:18" x14ac:dyDescent="0.25">
      <c r="B126" s="16" t="s">
        <v>242</v>
      </c>
      <c r="C126" s="2" t="s">
        <v>160</v>
      </c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 t="s">
        <v>161</v>
      </c>
      <c r="O126" s="2"/>
      <c r="P126" s="2"/>
      <c r="Q126" s="2"/>
      <c r="R126" s="15"/>
    </row>
    <row r="127" spans="2:18" x14ac:dyDescent="0.25">
      <c r="B127" s="16" t="s">
        <v>241</v>
      </c>
      <c r="C127" s="2"/>
      <c r="D127" s="2"/>
      <c r="E127" s="2"/>
      <c r="F127" s="2"/>
      <c r="G127" s="2" t="s">
        <v>161</v>
      </c>
      <c r="H127" s="2"/>
      <c r="I127" s="2"/>
      <c r="J127" s="2"/>
      <c r="K127" s="2"/>
      <c r="L127" s="2" t="s">
        <v>160</v>
      </c>
      <c r="M127" s="2"/>
      <c r="N127" s="2"/>
      <c r="O127" s="2"/>
      <c r="P127" s="2"/>
      <c r="Q127" s="2"/>
      <c r="R127" s="15"/>
    </row>
    <row r="128" spans="2:18" x14ac:dyDescent="0.25">
      <c r="B128" s="16" t="s">
        <v>240</v>
      </c>
      <c r="C128" s="2"/>
      <c r="D128" s="2"/>
      <c r="E128" s="2"/>
      <c r="F128" s="2"/>
      <c r="G128" s="2" t="s">
        <v>160</v>
      </c>
      <c r="H128" s="2"/>
      <c r="I128" s="2"/>
      <c r="J128" s="2"/>
      <c r="K128" s="2"/>
      <c r="L128" s="2" t="s">
        <v>161</v>
      </c>
      <c r="M128" s="2"/>
      <c r="N128" s="2"/>
      <c r="O128" s="2"/>
      <c r="P128" s="2"/>
      <c r="Q128" s="2"/>
      <c r="R128" s="15"/>
    </row>
    <row r="129" spans="2:18" x14ac:dyDescent="0.25">
      <c r="B129" s="16" t="s">
        <v>239</v>
      </c>
      <c r="C129" s="2"/>
      <c r="D129" s="2"/>
      <c r="E129" s="2"/>
      <c r="F129" s="2"/>
      <c r="G129" s="2"/>
      <c r="H129" s="2"/>
      <c r="I129" s="2"/>
      <c r="J129" s="2"/>
      <c r="K129" s="2"/>
      <c r="L129" s="2" t="s">
        <v>161</v>
      </c>
      <c r="M129" s="2" t="s">
        <v>160</v>
      </c>
      <c r="N129" s="2"/>
      <c r="O129" s="2"/>
      <c r="P129" s="2"/>
      <c r="Q129" s="2"/>
      <c r="R129" s="15"/>
    </row>
    <row r="130" spans="2:18" x14ac:dyDescent="0.25">
      <c r="B130" s="16" t="s">
        <v>238</v>
      </c>
      <c r="C130" s="2"/>
      <c r="D130" s="2"/>
      <c r="E130" s="2"/>
      <c r="F130" s="2"/>
      <c r="G130" s="2"/>
      <c r="H130" s="2"/>
      <c r="I130" s="2"/>
      <c r="J130" s="2"/>
      <c r="K130" s="2"/>
      <c r="L130" s="2" t="s">
        <v>160</v>
      </c>
      <c r="M130" s="2" t="s">
        <v>161</v>
      </c>
      <c r="N130" s="2"/>
      <c r="O130" s="2"/>
      <c r="P130" s="2"/>
      <c r="Q130" s="2"/>
      <c r="R130" s="15"/>
    </row>
    <row r="131" spans="2:18" x14ac:dyDescent="0.25">
      <c r="B131" s="16" t="s">
        <v>237</v>
      </c>
      <c r="C131" s="2"/>
      <c r="D131" s="2"/>
      <c r="E131" s="2"/>
      <c r="F131" s="2"/>
      <c r="G131" s="2"/>
      <c r="H131" s="2"/>
      <c r="I131" s="2"/>
      <c r="J131" s="2" t="s">
        <v>161</v>
      </c>
      <c r="K131" s="2"/>
      <c r="L131" s="2"/>
      <c r="M131" s="2"/>
      <c r="N131" s="2"/>
      <c r="O131" s="2" t="s">
        <v>160</v>
      </c>
      <c r="P131" s="2"/>
      <c r="Q131" s="2"/>
      <c r="R131" s="15"/>
    </row>
    <row r="132" spans="2:18" x14ac:dyDescent="0.25">
      <c r="B132" s="16" t="s">
        <v>236</v>
      </c>
      <c r="C132" s="2"/>
      <c r="D132" s="2"/>
      <c r="E132" s="2"/>
      <c r="F132" s="2"/>
      <c r="G132" s="2"/>
      <c r="H132" s="2"/>
      <c r="I132" s="2"/>
      <c r="J132" s="2" t="s">
        <v>160</v>
      </c>
      <c r="K132" s="2"/>
      <c r="L132" s="2"/>
      <c r="M132" s="2"/>
      <c r="N132" s="2"/>
      <c r="O132" s="2" t="s">
        <v>161</v>
      </c>
      <c r="P132" s="2"/>
      <c r="Q132" s="2"/>
      <c r="R132" s="15"/>
    </row>
    <row r="133" spans="2:18" x14ac:dyDescent="0.25">
      <c r="B133" s="16" t="s">
        <v>235</v>
      </c>
      <c r="C133" s="2"/>
      <c r="D133" s="2"/>
      <c r="E133" s="2"/>
      <c r="F133" s="2"/>
      <c r="G133" s="2"/>
      <c r="H133" s="2" t="s">
        <v>161</v>
      </c>
      <c r="I133" s="2"/>
      <c r="J133" s="2"/>
      <c r="K133" s="2"/>
      <c r="L133" s="2"/>
      <c r="M133" s="2"/>
      <c r="N133" s="2"/>
      <c r="O133" s="2"/>
      <c r="P133" s="2" t="s">
        <v>160</v>
      </c>
      <c r="Q133" s="2"/>
      <c r="R133" s="15"/>
    </row>
    <row r="134" spans="2:18" x14ac:dyDescent="0.25">
      <c r="B134" s="16" t="s">
        <v>234</v>
      </c>
      <c r="C134" s="2"/>
      <c r="D134" s="2"/>
      <c r="E134" s="2"/>
      <c r="F134" s="2"/>
      <c r="G134" s="2"/>
      <c r="H134" s="2" t="s">
        <v>160</v>
      </c>
      <c r="I134" s="2"/>
      <c r="J134" s="2"/>
      <c r="K134" s="2"/>
      <c r="L134" s="2"/>
      <c r="M134" s="2"/>
      <c r="N134" s="2"/>
      <c r="O134" s="2"/>
      <c r="P134" s="2" t="s">
        <v>161</v>
      </c>
      <c r="Q134" s="2"/>
      <c r="R134" s="15"/>
    </row>
    <row r="135" spans="2:18" x14ac:dyDescent="0.25">
      <c r="B135" s="16" t="s">
        <v>233</v>
      </c>
      <c r="C135" s="2"/>
      <c r="D135" s="2"/>
      <c r="E135" s="2"/>
      <c r="F135" s="2" t="s">
        <v>161</v>
      </c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 t="s">
        <v>160</v>
      </c>
      <c r="R135" s="15"/>
    </row>
    <row r="136" spans="2:18" x14ac:dyDescent="0.25">
      <c r="B136" s="16" t="s">
        <v>232</v>
      </c>
      <c r="C136" s="2"/>
      <c r="D136" s="2"/>
      <c r="E136" s="2"/>
      <c r="F136" s="2" t="s">
        <v>160</v>
      </c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 t="s">
        <v>161</v>
      </c>
      <c r="R136" s="15"/>
    </row>
    <row r="137" spans="2:18" x14ac:dyDescent="0.25">
      <c r="B137" s="16" t="s">
        <v>231</v>
      </c>
      <c r="C137" s="2"/>
      <c r="D137" s="2"/>
      <c r="E137" s="2" t="s">
        <v>161</v>
      </c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15" t="s">
        <v>160</v>
      </c>
    </row>
    <row r="138" spans="2:18" x14ac:dyDescent="0.25">
      <c r="B138" s="16" t="s">
        <v>230</v>
      </c>
      <c r="C138" s="2"/>
      <c r="D138" s="2"/>
      <c r="E138" s="2" t="s">
        <v>160</v>
      </c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15" t="s">
        <v>161</v>
      </c>
    </row>
    <row r="139" spans="2:18" x14ac:dyDescent="0.25">
      <c r="B139" s="16" t="s">
        <v>229</v>
      </c>
      <c r="C139" s="2"/>
      <c r="D139" s="2" t="s">
        <v>161</v>
      </c>
      <c r="E139" s="2"/>
      <c r="F139" s="2"/>
      <c r="G139" s="2"/>
      <c r="H139" s="2"/>
      <c r="I139" s="2"/>
      <c r="J139" s="2"/>
      <c r="K139" s="2"/>
      <c r="L139" s="2"/>
      <c r="M139" s="2"/>
      <c r="N139" s="2" t="s">
        <v>160</v>
      </c>
      <c r="O139" s="2"/>
      <c r="P139" s="2"/>
      <c r="Q139" s="2"/>
      <c r="R139" s="15"/>
    </row>
    <row r="140" spans="2:18" x14ac:dyDescent="0.25">
      <c r="B140" s="16" t="s">
        <v>228</v>
      </c>
      <c r="C140" s="2"/>
      <c r="D140" s="2" t="s">
        <v>160</v>
      </c>
      <c r="E140" s="2"/>
      <c r="F140" s="2"/>
      <c r="G140" s="2"/>
      <c r="H140" s="2"/>
      <c r="I140" s="2"/>
      <c r="J140" s="2"/>
      <c r="K140" s="2"/>
      <c r="L140" s="2"/>
      <c r="M140" s="2"/>
      <c r="N140" s="2" t="s">
        <v>161</v>
      </c>
      <c r="O140" s="2"/>
      <c r="P140" s="2"/>
      <c r="Q140" s="2"/>
      <c r="R140" s="15"/>
    </row>
    <row r="141" spans="2:18" x14ac:dyDescent="0.25">
      <c r="B141" s="16" t="s">
        <v>227</v>
      </c>
      <c r="C141" s="2" t="s">
        <v>161</v>
      </c>
      <c r="D141" s="2"/>
      <c r="E141" s="2"/>
      <c r="F141" s="2"/>
      <c r="G141" s="2"/>
      <c r="H141" s="2"/>
      <c r="I141" s="2"/>
      <c r="J141" s="2"/>
      <c r="K141" s="2"/>
      <c r="L141" s="2" t="s">
        <v>160</v>
      </c>
      <c r="M141" s="2"/>
      <c r="N141" s="2"/>
      <c r="O141" s="2"/>
      <c r="P141" s="2"/>
      <c r="Q141" s="2"/>
      <c r="R141" s="15"/>
    </row>
    <row r="142" spans="2:18" x14ac:dyDescent="0.25">
      <c r="B142" s="16" t="s">
        <v>226</v>
      </c>
      <c r="C142" s="2" t="s">
        <v>160</v>
      </c>
      <c r="D142" s="2"/>
      <c r="E142" s="2"/>
      <c r="F142" s="2"/>
      <c r="G142" s="2"/>
      <c r="H142" s="2"/>
      <c r="I142" s="2"/>
      <c r="J142" s="2"/>
      <c r="K142" s="2"/>
      <c r="L142" s="2" t="s">
        <v>161</v>
      </c>
      <c r="M142" s="2"/>
      <c r="N142" s="2"/>
      <c r="O142" s="2"/>
      <c r="P142" s="2"/>
      <c r="Q142" s="2"/>
      <c r="R142" s="15"/>
    </row>
    <row r="143" spans="2:18" x14ac:dyDescent="0.25">
      <c r="B143" s="16" t="s">
        <v>225</v>
      </c>
      <c r="C143" s="2"/>
      <c r="D143" s="2"/>
      <c r="E143" s="2"/>
      <c r="F143" s="2"/>
      <c r="G143" s="2" t="s">
        <v>161</v>
      </c>
      <c r="H143" s="2"/>
      <c r="I143" s="2"/>
      <c r="J143" s="2" t="s">
        <v>160</v>
      </c>
      <c r="K143" s="2"/>
      <c r="L143" s="2"/>
      <c r="M143" s="2"/>
      <c r="N143" s="2"/>
      <c r="O143" s="2"/>
      <c r="P143" s="2"/>
      <c r="Q143" s="2"/>
      <c r="R143" s="15"/>
    </row>
    <row r="144" spans="2:18" x14ac:dyDescent="0.25">
      <c r="B144" s="16" t="s">
        <v>224</v>
      </c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 t="s">
        <v>161</v>
      </c>
      <c r="N144" s="2" t="s">
        <v>160</v>
      </c>
      <c r="O144" s="2"/>
      <c r="P144" s="2"/>
      <c r="Q144" s="2"/>
      <c r="R144" s="15"/>
    </row>
    <row r="145" spans="2:18" x14ac:dyDescent="0.25">
      <c r="B145" s="16" t="s">
        <v>223</v>
      </c>
      <c r="C145" s="2"/>
      <c r="D145" s="2"/>
      <c r="E145" s="2"/>
      <c r="F145" s="2"/>
      <c r="G145" s="2"/>
      <c r="H145" s="2"/>
      <c r="I145" s="2"/>
      <c r="J145" s="2"/>
      <c r="K145" s="2"/>
      <c r="L145" s="2" t="s">
        <v>161</v>
      </c>
      <c r="M145" s="2"/>
      <c r="N145" s="2"/>
      <c r="O145" s="2" t="s">
        <v>160</v>
      </c>
      <c r="P145" s="2"/>
      <c r="Q145" s="2"/>
      <c r="R145" s="15"/>
    </row>
    <row r="146" spans="2:18" x14ac:dyDescent="0.25">
      <c r="B146" s="16" t="s">
        <v>222</v>
      </c>
      <c r="C146" s="2"/>
      <c r="D146" s="2"/>
      <c r="E146" s="2"/>
      <c r="F146" s="2"/>
      <c r="G146" s="2"/>
      <c r="H146" s="2"/>
      <c r="I146" s="2"/>
      <c r="J146" s="2"/>
      <c r="K146" s="2"/>
      <c r="L146" s="2" t="s">
        <v>160</v>
      </c>
      <c r="M146" s="2"/>
      <c r="N146" s="2"/>
      <c r="O146" s="2" t="s">
        <v>161</v>
      </c>
      <c r="P146" s="2"/>
      <c r="Q146" s="2"/>
      <c r="R146" s="15"/>
    </row>
    <row r="147" spans="2:18" x14ac:dyDescent="0.25">
      <c r="B147" s="16" t="s">
        <v>221</v>
      </c>
      <c r="C147" s="2"/>
      <c r="D147" s="2"/>
      <c r="E147" s="2"/>
      <c r="F147" s="2"/>
      <c r="G147" s="2"/>
      <c r="H147" s="2"/>
      <c r="I147" s="2"/>
      <c r="J147" s="2" t="s">
        <v>161</v>
      </c>
      <c r="K147" s="2"/>
      <c r="L147" s="2"/>
      <c r="M147" s="2"/>
      <c r="N147" s="2"/>
      <c r="O147" s="2"/>
      <c r="P147" s="2" t="s">
        <v>160</v>
      </c>
      <c r="Q147" s="2"/>
      <c r="R147" s="15"/>
    </row>
    <row r="148" spans="2:18" x14ac:dyDescent="0.25">
      <c r="B148" s="16" t="s">
        <v>220</v>
      </c>
      <c r="C148" s="2"/>
      <c r="D148" s="2"/>
      <c r="E148" s="2"/>
      <c r="F148" s="2"/>
      <c r="G148" s="2"/>
      <c r="H148" s="2"/>
      <c r="I148" s="2"/>
      <c r="J148" s="2" t="s">
        <v>160</v>
      </c>
      <c r="K148" s="2"/>
      <c r="L148" s="2"/>
      <c r="M148" s="2"/>
      <c r="N148" s="2"/>
      <c r="O148" s="2"/>
      <c r="P148" s="2" t="s">
        <v>161</v>
      </c>
      <c r="Q148" s="2"/>
      <c r="R148" s="15"/>
    </row>
    <row r="149" spans="2:18" x14ac:dyDescent="0.25">
      <c r="B149" s="16" t="s">
        <v>219</v>
      </c>
      <c r="C149" s="2"/>
      <c r="D149" s="2"/>
      <c r="E149" s="2"/>
      <c r="F149" s="2"/>
      <c r="G149" s="2"/>
      <c r="H149" s="2" t="s">
        <v>161</v>
      </c>
      <c r="I149" s="2"/>
      <c r="J149" s="2"/>
      <c r="K149" s="2"/>
      <c r="L149" s="2"/>
      <c r="M149" s="2"/>
      <c r="N149" s="2"/>
      <c r="O149" s="2"/>
      <c r="P149" s="2"/>
      <c r="Q149" s="2" t="s">
        <v>160</v>
      </c>
      <c r="R149" s="15"/>
    </row>
    <row r="150" spans="2:18" x14ac:dyDescent="0.25">
      <c r="B150" s="16" t="s">
        <v>218</v>
      </c>
      <c r="C150" s="2"/>
      <c r="D150" s="2"/>
      <c r="E150" s="2"/>
      <c r="F150" s="2"/>
      <c r="G150" s="2"/>
      <c r="H150" s="2" t="s">
        <v>160</v>
      </c>
      <c r="I150" s="2"/>
      <c r="J150" s="2"/>
      <c r="K150" s="2"/>
      <c r="L150" s="2"/>
      <c r="M150" s="2"/>
      <c r="N150" s="2"/>
      <c r="O150" s="2"/>
      <c r="P150" s="2"/>
      <c r="Q150" s="2" t="s">
        <v>161</v>
      </c>
      <c r="R150" s="15"/>
    </row>
    <row r="151" spans="2:18" x14ac:dyDescent="0.25">
      <c r="B151" s="16" t="s">
        <v>217</v>
      </c>
      <c r="C151" s="2"/>
      <c r="D151" s="2"/>
      <c r="E151" s="2"/>
      <c r="F151" s="2" t="s">
        <v>161</v>
      </c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15" t="s">
        <v>160</v>
      </c>
    </row>
    <row r="152" spans="2:18" x14ac:dyDescent="0.25">
      <c r="B152" s="16" t="s">
        <v>216</v>
      </c>
      <c r="C152" s="2"/>
      <c r="D152" s="2"/>
      <c r="E152" s="2"/>
      <c r="F152" s="2" t="s">
        <v>160</v>
      </c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15" t="s">
        <v>161</v>
      </c>
    </row>
    <row r="153" spans="2:18" x14ac:dyDescent="0.25">
      <c r="B153" s="16" t="s">
        <v>215</v>
      </c>
      <c r="C153" s="2"/>
      <c r="D153" s="2"/>
      <c r="E153" s="2" t="s">
        <v>161</v>
      </c>
      <c r="F153" s="2"/>
      <c r="G153" s="2"/>
      <c r="H153" s="2"/>
      <c r="I153" s="2"/>
      <c r="J153" s="2"/>
      <c r="K153" s="2"/>
      <c r="L153" s="2"/>
      <c r="M153" s="2"/>
      <c r="N153" s="2" t="s">
        <v>160</v>
      </c>
      <c r="O153" s="2"/>
      <c r="P153" s="2"/>
      <c r="Q153" s="2"/>
      <c r="R153" s="15"/>
    </row>
    <row r="154" spans="2:18" x14ac:dyDescent="0.25">
      <c r="B154" s="16" t="s">
        <v>214</v>
      </c>
      <c r="C154" s="2"/>
      <c r="D154" s="2"/>
      <c r="E154" s="2" t="s">
        <v>160</v>
      </c>
      <c r="F154" s="2"/>
      <c r="G154" s="2"/>
      <c r="H154" s="2"/>
      <c r="I154" s="2"/>
      <c r="J154" s="2"/>
      <c r="K154" s="2"/>
      <c r="L154" s="2"/>
      <c r="M154" s="2"/>
      <c r="N154" s="2" t="s">
        <v>161</v>
      </c>
      <c r="O154" s="2"/>
      <c r="P154" s="2"/>
      <c r="Q154" s="2"/>
      <c r="R154" s="15"/>
    </row>
    <row r="155" spans="2:18" x14ac:dyDescent="0.25">
      <c r="B155" s="16" t="s">
        <v>213</v>
      </c>
      <c r="C155" s="2"/>
      <c r="D155" s="2" t="s">
        <v>161</v>
      </c>
      <c r="E155" s="2"/>
      <c r="F155" s="2"/>
      <c r="G155" s="2"/>
      <c r="H155" s="2"/>
      <c r="I155" s="2"/>
      <c r="J155" s="2"/>
      <c r="K155" s="2"/>
      <c r="L155" s="2" t="s">
        <v>160</v>
      </c>
      <c r="M155" s="2"/>
      <c r="N155" s="2"/>
      <c r="O155" s="2"/>
      <c r="P155" s="2"/>
      <c r="Q155" s="2"/>
      <c r="R155" s="15"/>
    </row>
    <row r="156" spans="2:18" x14ac:dyDescent="0.25">
      <c r="B156" s="16" t="s">
        <v>212</v>
      </c>
      <c r="C156" s="2"/>
      <c r="D156" s="2" t="s">
        <v>160</v>
      </c>
      <c r="E156" s="2"/>
      <c r="F156" s="2"/>
      <c r="G156" s="2"/>
      <c r="H156" s="2"/>
      <c r="I156" s="2"/>
      <c r="J156" s="2"/>
      <c r="K156" s="2"/>
      <c r="L156" s="2" t="s">
        <v>161</v>
      </c>
      <c r="M156" s="2"/>
      <c r="N156" s="2"/>
      <c r="O156" s="2"/>
      <c r="P156" s="2"/>
      <c r="Q156" s="2"/>
      <c r="R156" s="15"/>
    </row>
    <row r="157" spans="2:18" x14ac:dyDescent="0.25">
      <c r="B157" s="16" t="s">
        <v>211</v>
      </c>
      <c r="C157" s="2" t="s">
        <v>161</v>
      </c>
      <c r="D157" s="2"/>
      <c r="E157" s="2"/>
      <c r="F157" s="2"/>
      <c r="G157" s="2"/>
      <c r="H157" s="2"/>
      <c r="I157" s="2"/>
      <c r="J157" s="2" t="s">
        <v>160</v>
      </c>
      <c r="K157" s="2"/>
      <c r="L157" s="2"/>
      <c r="M157" s="2"/>
      <c r="N157" s="2"/>
      <c r="O157" s="2"/>
      <c r="P157" s="2"/>
      <c r="Q157" s="2"/>
      <c r="R157" s="15"/>
    </row>
    <row r="158" spans="2:18" x14ac:dyDescent="0.25">
      <c r="B158" s="16" t="s">
        <v>210</v>
      </c>
      <c r="C158" s="2" t="s">
        <v>160</v>
      </c>
      <c r="D158" s="2"/>
      <c r="E158" s="2"/>
      <c r="F158" s="2"/>
      <c r="G158" s="2"/>
      <c r="H158" s="2"/>
      <c r="I158" s="2"/>
      <c r="J158" s="2" t="s">
        <v>161</v>
      </c>
      <c r="K158" s="2"/>
      <c r="L158" s="2"/>
      <c r="M158" s="2"/>
      <c r="N158" s="2"/>
      <c r="O158" s="2"/>
      <c r="P158" s="2"/>
      <c r="Q158" s="2"/>
      <c r="R158" s="15"/>
    </row>
    <row r="159" spans="2:18" x14ac:dyDescent="0.25">
      <c r="B159" s="16" t="s">
        <v>209</v>
      </c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 t="s">
        <v>161</v>
      </c>
      <c r="O159" s="2" t="s">
        <v>160</v>
      </c>
      <c r="P159" s="2"/>
      <c r="Q159" s="2"/>
      <c r="R159" s="15"/>
    </row>
    <row r="160" spans="2:18" x14ac:dyDescent="0.25">
      <c r="B160" s="16" t="s">
        <v>208</v>
      </c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 t="s">
        <v>160</v>
      </c>
      <c r="O160" s="2" t="s">
        <v>161</v>
      </c>
      <c r="P160" s="2"/>
      <c r="Q160" s="2"/>
      <c r="R160" s="15"/>
    </row>
    <row r="161" spans="2:18" x14ac:dyDescent="0.25">
      <c r="B161" s="16" t="s">
        <v>207</v>
      </c>
      <c r="C161" s="2"/>
      <c r="D161" s="2"/>
      <c r="E161" s="2"/>
      <c r="F161" s="2"/>
      <c r="G161" s="2"/>
      <c r="H161" s="2"/>
      <c r="I161" s="2"/>
      <c r="J161" s="2"/>
      <c r="K161" s="2"/>
      <c r="L161" s="2" t="s">
        <v>161</v>
      </c>
      <c r="M161" s="2"/>
      <c r="N161" s="2"/>
      <c r="O161" s="2"/>
      <c r="P161" s="2" t="s">
        <v>160</v>
      </c>
      <c r="Q161" s="2"/>
      <c r="R161" s="15"/>
    </row>
    <row r="162" spans="2:18" x14ac:dyDescent="0.25">
      <c r="B162" s="16" t="s">
        <v>206</v>
      </c>
      <c r="C162" s="2"/>
      <c r="D162" s="2"/>
      <c r="E162" s="2"/>
      <c r="F162" s="2"/>
      <c r="G162" s="2"/>
      <c r="H162" s="2"/>
      <c r="I162" s="2"/>
      <c r="J162" s="2"/>
      <c r="K162" s="2"/>
      <c r="L162" s="2" t="s">
        <v>160</v>
      </c>
      <c r="M162" s="2"/>
      <c r="N162" s="2"/>
      <c r="O162" s="2"/>
      <c r="P162" s="2" t="s">
        <v>161</v>
      </c>
      <c r="Q162" s="2"/>
      <c r="R162" s="15"/>
    </row>
    <row r="163" spans="2:18" x14ac:dyDescent="0.25">
      <c r="B163" s="16" t="s">
        <v>205</v>
      </c>
      <c r="C163" s="2"/>
      <c r="D163" s="2"/>
      <c r="E163" s="2"/>
      <c r="F163" s="2"/>
      <c r="G163" s="2"/>
      <c r="H163" s="2"/>
      <c r="I163" s="2"/>
      <c r="J163" s="2" t="s">
        <v>161</v>
      </c>
      <c r="K163" s="2"/>
      <c r="L163" s="2"/>
      <c r="M163" s="2"/>
      <c r="N163" s="2"/>
      <c r="O163" s="2"/>
      <c r="P163" s="2"/>
      <c r="Q163" s="2" t="s">
        <v>160</v>
      </c>
      <c r="R163" s="15"/>
    </row>
    <row r="164" spans="2:18" x14ac:dyDescent="0.25">
      <c r="B164" s="16" t="s">
        <v>204</v>
      </c>
      <c r="C164" s="2"/>
      <c r="D164" s="2"/>
      <c r="E164" s="2"/>
      <c r="F164" s="2"/>
      <c r="G164" s="2"/>
      <c r="H164" s="2"/>
      <c r="I164" s="2"/>
      <c r="J164" s="2" t="s">
        <v>160</v>
      </c>
      <c r="K164" s="2"/>
      <c r="L164" s="2"/>
      <c r="M164" s="2"/>
      <c r="N164" s="2"/>
      <c r="O164" s="2"/>
      <c r="P164" s="2"/>
      <c r="Q164" s="2" t="s">
        <v>161</v>
      </c>
      <c r="R164" s="15"/>
    </row>
    <row r="165" spans="2:18" x14ac:dyDescent="0.25">
      <c r="B165" s="16" t="s">
        <v>203</v>
      </c>
      <c r="C165" s="2"/>
      <c r="D165" s="2"/>
      <c r="E165" s="2"/>
      <c r="F165" s="2"/>
      <c r="G165" s="2"/>
      <c r="H165" s="2" t="s">
        <v>161</v>
      </c>
      <c r="I165" s="2"/>
      <c r="J165" s="2"/>
      <c r="K165" s="2"/>
      <c r="L165" s="2"/>
      <c r="M165" s="2"/>
      <c r="N165" s="2"/>
      <c r="O165" s="2"/>
      <c r="P165" s="2"/>
      <c r="Q165" s="2"/>
      <c r="R165" s="15" t="s">
        <v>160</v>
      </c>
    </row>
    <row r="166" spans="2:18" x14ac:dyDescent="0.25">
      <c r="B166" s="16" t="s">
        <v>202</v>
      </c>
      <c r="C166" s="2"/>
      <c r="D166" s="2"/>
      <c r="E166" s="2"/>
      <c r="F166" s="2"/>
      <c r="G166" s="2"/>
      <c r="H166" s="2" t="s">
        <v>160</v>
      </c>
      <c r="I166" s="2"/>
      <c r="J166" s="2"/>
      <c r="K166" s="2"/>
      <c r="L166" s="2"/>
      <c r="M166" s="2"/>
      <c r="N166" s="2"/>
      <c r="O166" s="2"/>
      <c r="P166" s="2"/>
      <c r="Q166" s="2"/>
      <c r="R166" s="15" t="s">
        <v>161</v>
      </c>
    </row>
    <row r="167" spans="2:18" x14ac:dyDescent="0.25">
      <c r="B167" s="16" t="s">
        <v>201</v>
      </c>
      <c r="C167" s="2"/>
      <c r="D167" s="2"/>
      <c r="E167" s="2"/>
      <c r="F167" s="2" t="s">
        <v>161</v>
      </c>
      <c r="G167" s="2"/>
      <c r="H167" s="2"/>
      <c r="I167" s="2"/>
      <c r="J167" s="2"/>
      <c r="K167" s="2"/>
      <c r="L167" s="2"/>
      <c r="M167" s="2"/>
      <c r="N167" s="2" t="s">
        <v>160</v>
      </c>
      <c r="O167" s="2"/>
      <c r="P167" s="2"/>
      <c r="Q167" s="2"/>
      <c r="R167" s="15"/>
    </row>
    <row r="168" spans="2:18" x14ac:dyDescent="0.25">
      <c r="B168" s="16" t="s">
        <v>200</v>
      </c>
      <c r="C168" s="2"/>
      <c r="D168" s="2"/>
      <c r="E168" s="2"/>
      <c r="F168" s="2" t="s">
        <v>160</v>
      </c>
      <c r="G168" s="2"/>
      <c r="H168" s="2"/>
      <c r="I168" s="2"/>
      <c r="J168" s="2"/>
      <c r="K168" s="2"/>
      <c r="L168" s="2"/>
      <c r="M168" s="2"/>
      <c r="N168" s="2" t="s">
        <v>161</v>
      </c>
      <c r="O168" s="2"/>
      <c r="P168" s="2"/>
      <c r="Q168" s="2"/>
      <c r="R168" s="15"/>
    </row>
    <row r="169" spans="2:18" x14ac:dyDescent="0.25">
      <c r="B169" s="16" t="s">
        <v>199</v>
      </c>
      <c r="C169" s="2"/>
      <c r="D169" s="2"/>
      <c r="E169" s="2" t="s">
        <v>161</v>
      </c>
      <c r="F169" s="2"/>
      <c r="G169" s="2"/>
      <c r="H169" s="2"/>
      <c r="I169" s="2"/>
      <c r="J169" s="2"/>
      <c r="K169" s="2"/>
      <c r="L169" s="2" t="s">
        <v>160</v>
      </c>
      <c r="M169" s="2"/>
      <c r="N169" s="2"/>
      <c r="O169" s="2"/>
      <c r="P169" s="2"/>
      <c r="Q169" s="2"/>
      <c r="R169" s="15"/>
    </row>
    <row r="170" spans="2:18" x14ac:dyDescent="0.25">
      <c r="B170" s="16" t="s">
        <v>198</v>
      </c>
      <c r="C170" s="2"/>
      <c r="D170" s="2"/>
      <c r="E170" s="2" t="s">
        <v>160</v>
      </c>
      <c r="F170" s="2"/>
      <c r="G170" s="2"/>
      <c r="H170" s="2"/>
      <c r="I170" s="2"/>
      <c r="J170" s="2"/>
      <c r="K170" s="2"/>
      <c r="L170" s="2" t="s">
        <v>161</v>
      </c>
      <c r="M170" s="2"/>
      <c r="N170" s="2"/>
      <c r="O170" s="2"/>
      <c r="P170" s="2"/>
      <c r="Q170" s="2"/>
      <c r="R170" s="15"/>
    </row>
    <row r="171" spans="2:18" x14ac:dyDescent="0.25">
      <c r="B171" s="16" t="s">
        <v>197</v>
      </c>
      <c r="C171" s="2"/>
      <c r="D171" s="2" t="s">
        <v>161</v>
      </c>
      <c r="E171" s="2"/>
      <c r="F171" s="2"/>
      <c r="G171" s="2"/>
      <c r="H171" s="2"/>
      <c r="I171" s="2"/>
      <c r="J171" s="2" t="s">
        <v>160</v>
      </c>
      <c r="K171" s="2"/>
      <c r="L171" s="2"/>
      <c r="M171" s="2"/>
      <c r="N171" s="2"/>
      <c r="O171" s="2"/>
      <c r="P171" s="2"/>
      <c r="Q171" s="2"/>
      <c r="R171" s="15"/>
    </row>
    <row r="172" spans="2:18" x14ac:dyDescent="0.25">
      <c r="B172" s="16" t="s">
        <v>196</v>
      </c>
      <c r="C172" s="2"/>
      <c r="D172" s="2" t="s">
        <v>160</v>
      </c>
      <c r="E172" s="2"/>
      <c r="F172" s="2"/>
      <c r="G172" s="2"/>
      <c r="H172" s="2"/>
      <c r="I172" s="2"/>
      <c r="J172" s="2" t="s">
        <v>161</v>
      </c>
      <c r="K172" s="2"/>
      <c r="L172" s="2"/>
      <c r="M172" s="2"/>
      <c r="N172" s="2"/>
      <c r="O172" s="2"/>
      <c r="P172" s="2"/>
      <c r="Q172" s="2"/>
      <c r="R172" s="15"/>
    </row>
    <row r="173" spans="2:18" x14ac:dyDescent="0.25">
      <c r="B173" s="16" t="s">
        <v>195</v>
      </c>
      <c r="C173" s="2" t="s">
        <v>161</v>
      </c>
      <c r="D173" s="2"/>
      <c r="E173" s="2"/>
      <c r="F173" s="2"/>
      <c r="G173" s="2"/>
      <c r="H173" s="2" t="s">
        <v>160</v>
      </c>
      <c r="I173" s="2"/>
      <c r="J173" s="2"/>
      <c r="K173" s="2"/>
      <c r="L173" s="2"/>
      <c r="M173" s="2"/>
      <c r="N173" s="2"/>
      <c r="O173" s="2"/>
      <c r="P173" s="2"/>
      <c r="Q173" s="2"/>
      <c r="R173" s="15"/>
    </row>
    <row r="174" spans="2:18" x14ac:dyDescent="0.25">
      <c r="B174" s="16" t="s">
        <v>194</v>
      </c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 t="s">
        <v>161</v>
      </c>
      <c r="O174" s="2"/>
      <c r="P174" s="2" t="s">
        <v>160</v>
      </c>
      <c r="Q174" s="2"/>
      <c r="R174" s="15"/>
    </row>
    <row r="175" spans="2:18" x14ac:dyDescent="0.25">
      <c r="B175" s="16" t="s">
        <v>193</v>
      </c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 t="s">
        <v>160</v>
      </c>
      <c r="O175" s="2"/>
      <c r="P175" s="2" t="s">
        <v>161</v>
      </c>
      <c r="Q175" s="2"/>
      <c r="R175" s="15"/>
    </row>
    <row r="176" spans="2:18" x14ac:dyDescent="0.25">
      <c r="B176" s="16" t="s">
        <v>192</v>
      </c>
      <c r="C176" s="2"/>
      <c r="D176" s="2"/>
      <c r="E176" s="2"/>
      <c r="F176" s="2"/>
      <c r="G176" s="2"/>
      <c r="H176" s="2"/>
      <c r="I176" s="2"/>
      <c r="J176" s="2"/>
      <c r="K176" s="2"/>
      <c r="L176" s="2" t="s">
        <v>161</v>
      </c>
      <c r="M176" s="2"/>
      <c r="N176" s="2"/>
      <c r="O176" s="2"/>
      <c r="P176" s="2"/>
      <c r="Q176" s="2" t="s">
        <v>160</v>
      </c>
      <c r="R176" s="15"/>
    </row>
    <row r="177" spans="2:18" x14ac:dyDescent="0.25">
      <c r="B177" s="16" t="s">
        <v>191</v>
      </c>
      <c r="C177" s="2"/>
      <c r="D177" s="2"/>
      <c r="E177" s="2"/>
      <c r="F177" s="2"/>
      <c r="G177" s="2"/>
      <c r="H177" s="2"/>
      <c r="I177" s="2"/>
      <c r="J177" s="2"/>
      <c r="K177" s="2"/>
      <c r="L177" s="2" t="s">
        <v>160</v>
      </c>
      <c r="M177" s="2"/>
      <c r="N177" s="2"/>
      <c r="O177" s="2"/>
      <c r="P177" s="2"/>
      <c r="Q177" s="2" t="s">
        <v>161</v>
      </c>
      <c r="R177" s="15"/>
    </row>
    <row r="178" spans="2:18" x14ac:dyDescent="0.25">
      <c r="B178" s="16" t="s">
        <v>190</v>
      </c>
      <c r="C178" s="2"/>
      <c r="D178" s="2"/>
      <c r="E178" s="2"/>
      <c r="F178" s="2"/>
      <c r="G178" s="2"/>
      <c r="H178" s="2"/>
      <c r="I178" s="2"/>
      <c r="J178" s="2" t="s">
        <v>161</v>
      </c>
      <c r="K178" s="2"/>
      <c r="L178" s="2"/>
      <c r="M178" s="2"/>
      <c r="N178" s="2"/>
      <c r="O178" s="2"/>
      <c r="P178" s="2"/>
      <c r="Q178" s="2"/>
      <c r="R178" s="15" t="s">
        <v>160</v>
      </c>
    </row>
    <row r="179" spans="2:18" x14ac:dyDescent="0.25">
      <c r="B179" s="16" t="s">
        <v>189</v>
      </c>
      <c r="C179" s="2"/>
      <c r="D179" s="2"/>
      <c r="E179" s="2"/>
      <c r="F179" s="2"/>
      <c r="G179" s="2"/>
      <c r="H179" s="2"/>
      <c r="I179" s="2"/>
      <c r="J179" s="2" t="s">
        <v>160</v>
      </c>
      <c r="K179" s="2"/>
      <c r="L179" s="2"/>
      <c r="M179" s="2"/>
      <c r="N179" s="2"/>
      <c r="O179" s="2"/>
      <c r="P179" s="2"/>
      <c r="Q179" s="2"/>
      <c r="R179" s="15" t="s">
        <v>161</v>
      </c>
    </row>
    <row r="180" spans="2:18" x14ac:dyDescent="0.25">
      <c r="B180" s="16" t="s">
        <v>188</v>
      </c>
      <c r="C180" s="2"/>
      <c r="D180" s="2"/>
      <c r="E180" s="2"/>
      <c r="F180" s="2"/>
      <c r="G180" s="2"/>
      <c r="H180" s="2" t="s">
        <v>161</v>
      </c>
      <c r="I180" s="2"/>
      <c r="J180" s="2"/>
      <c r="K180" s="2"/>
      <c r="L180" s="2"/>
      <c r="M180" s="2"/>
      <c r="N180" s="2" t="s">
        <v>160</v>
      </c>
      <c r="O180" s="2"/>
      <c r="P180" s="2"/>
      <c r="Q180" s="2"/>
      <c r="R180" s="15"/>
    </row>
    <row r="181" spans="2:18" x14ac:dyDescent="0.25">
      <c r="B181" s="16" t="s">
        <v>187</v>
      </c>
      <c r="C181" s="2"/>
      <c r="D181" s="2"/>
      <c r="E181" s="2"/>
      <c r="F181" s="2"/>
      <c r="G181" s="2"/>
      <c r="H181" s="2" t="s">
        <v>160</v>
      </c>
      <c r="I181" s="2"/>
      <c r="J181" s="2"/>
      <c r="K181" s="2"/>
      <c r="L181" s="2"/>
      <c r="M181" s="2"/>
      <c r="N181" s="2" t="s">
        <v>161</v>
      </c>
      <c r="O181" s="2"/>
      <c r="P181" s="2"/>
      <c r="Q181" s="2"/>
      <c r="R181" s="15"/>
    </row>
    <row r="182" spans="2:18" x14ac:dyDescent="0.25">
      <c r="B182" s="16" t="s">
        <v>186</v>
      </c>
      <c r="C182" s="2"/>
      <c r="D182" s="2"/>
      <c r="E182" s="2"/>
      <c r="F182" s="2" t="s">
        <v>161</v>
      </c>
      <c r="G182" s="2"/>
      <c r="H182" s="2"/>
      <c r="I182" s="2"/>
      <c r="J182" s="2"/>
      <c r="K182" s="2"/>
      <c r="L182" s="2" t="s">
        <v>160</v>
      </c>
      <c r="M182" s="2"/>
      <c r="N182" s="2"/>
      <c r="O182" s="2"/>
      <c r="P182" s="2"/>
      <c r="Q182" s="2"/>
      <c r="R182" s="15"/>
    </row>
    <row r="183" spans="2:18" x14ac:dyDescent="0.25">
      <c r="B183" s="16" t="s">
        <v>185</v>
      </c>
      <c r="C183" s="2"/>
      <c r="D183" s="2"/>
      <c r="E183" s="2"/>
      <c r="F183" s="2" t="s">
        <v>160</v>
      </c>
      <c r="G183" s="2"/>
      <c r="H183" s="2"/>
      <c r="I183" s="2"/>
      <c r="J183" s="2"/>
      <c r="K183" s="2"/>
      <c r="L183" s="2" t="s">
        <v>161</v>
      </c>
      <c r="M183" s="2"/>
      <c r="N183" s="2"/>
      <c r="O183" s="2"/>
      <c r="P183" s="2"/>
      <c r="Q183" s="2"/>
      <c r="R183" s="15"/>
    </row>
    <row r="184" spans="2:18" x14ac:dyDescent="0.25">
      <c r="B184" s="16" t="s">
        <v>184</v>
      </c>
      <c r="C184" s="2"/>
      <c r="D184" s="2"/>
      <c r="E184" s="2" t="s">
        <v>161</v>
      </c>
      <c r="F184" s="2"/>
      <c r="G184" s="2"/>
      <c r="H184" s="2"/>
      <c r="I184" s="2"/>
      <c r="J184" s="2" t="s">
        <v>160</v>
      </c>
      <c r="K184" s="2"/>
      <c r="L184" s="2"/>
      <c r="M184" s="2"/>
      <c r="N184" s="2"/>
      <c r="O184" s="2"/>
      <c r="P184" s="2"/>
      <c r="Q184" s="2"/>
      <c r="R184" s="15"/>
    </row>
    <row r="185" spans="2:18" x14ac:dyDescent="0.25">
      <c r="B185" s="16" t="s">
        <v>183</v>
      </c>
      <c r="C185" s="2"/>
      <c r="D185" s="2"/>
      <c r="E185" s="2" t="s">
        <v>160</v>
      </c>
      <c r="F185" s="2"/>
      <c r="G185" s="2"/>
      <c r="H185" s="2"/>
      <c r="I185" s="2"/>
      <c r="J185" s="2" t="s">
        <v>161</v>
      </c>
      <c r="K185" s="2"/>
      <c r="L185" s="2"/>
      <c r="M185" s="2"/>
      <c r="N185" s="2"/>
      <c r="O185" s="2"/>
      <c r="P185" s="2"/>
      <c r="Q185" s="2"/>
      <c r="R185" s="15"/>
    </row>
    <row r="186" spans="2:18" x14ac:dyDescent="0.25">
      <c r="B186" s="16" t="s">
        <v>182</v>
      </c>
      <c r="C186" s="2"/>
      <c r="D186" s="2" t="s">
        <v>161</v>
      </c>
      <c r="E186" s="2"/>
      <c r="F186" s="2"/>
      <c r="G186" s="2"/>
      <c r="H186" s="2" t="s">
        <v>160</v>
      </c>
      <c r="I186" s="2"/>
      <c r="J186" s="2"/>
      <c r="K186" s="2"/>
      <c r="L186" s="2"/>
      <c r="M186" s="2"/>
      <c r="N186" s="2"/>
      <c r="O186" s="2"/>
      <c r="P186" s="2"/>
      <c r="Q186" s="2"/>
      <c r="R186" s="15"/>
    </row>
    <row r="187" spans="2:18" x14ac:dyDescent="0.25">
      <c r="B187" s="16" t="s">
        <v>181</v>
      </c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 t="s">
        <v>161</v>
      </c>
      <c r="O187" s="2"/>
      <c r="P187" s="2"/>
      <c r="Q187" s="2" t="s">
        <v>160</v>
      </c>
      <c r="R187" s="15"/>
    </row>
    <row r="188" spans="2:18" x14ac:dyDescent="0.25">
      <c r="B188" s="16" t="s">
        <v>180</v>
      </c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 t="s">
        <v>160</v>
      </c>
      <c r="O188" s="2"/>
      <c r="P188" s="2"/>
      <c r="Q188" s="2" t="s">
        <v>161</v>
      </c>
      <c r="R188" s="15"/>
    </row>
    <row r="189" spans="2:18" x14ac:dyDescent="0.25">
      <c r="B189" s="16" t="s">
        <v>179</v>
      </c>
      <c r="C189" s="2"/>
      <c r="D189" s="2"/>
      <c r="E189" s="2"/>
      <c r="F189" s="2"/>
      <c r="G189" s="2"/>
      <c r="H189" s="2"/>
      <c r="I189" s="2"/>
      <c r="J189" s="2"/>
      <c r="K189" s="2"/>
      <c r="L189" s="2" t="s">
        <v>161</v>
      </c>
      <c r="M189" s="2"/>
      <c r="N189" s="2"/>
      <c r="O189" s="2"/>
      <c r="P189" s="2"/>
      <c r="Q189" s="2"/>
      <c r="R189" s="15" t="s">
        <v>160</v>
      </c>
    </row>
    <row r="190" spans="2:18" x14ac:dyDescent="0.25">
      <c r="B190" s="16" t="s">
        <v>178</v>
      </c>
      <c r="C190" s="2"/>
      <c r="D190" s="2"/>
      <c r="E190" s="2"/>
      <c r="F190" s="2"/>
      <c r="G190" s="2"/>
      <c r="H190" s="2"/>
      <c r="I190" s="2"/>
      <c r="J190" s="2"/>
      <c r="K190" s="2"/>
      <c r="L190" s="2" t="s">
        <v>160</v>
      </c>
      <c r="M190" s="2"/>
      <c r="N190" s="2"/>
      <c r="O190" s="2"/>
      <c r="P190" s="2"/>
      <c r="Q190" s="2"/>
      <c r="R190" s="15" t="s">
        <v>161</v>
      </c>
    </row>
    <row r="191" spans="2:18" x14ac:dyDescent="0.25">
      <c r="B191" s="16" t="s">
        <v>177</v>
      </c>
      <c r="C191" s="2"/>
      <c r="D191" s="2"/>
      <c r="E191" s="2"/>
      <c r="F191" s="2"/>
      <c r="G191" s="2"/>
      <c r="H191" s="2"/>
      <c r="I191" s="2"/>
      <c r="J191" s="2" t="s">
        <v>161</v>
      </c>
      <c r="K191" s="2"/>
      <c r="L191" s="2"/>
      <c r="M191" s="2"/>
      <c r="N191" s="2" t="s">
        <v>160</v>
      </c>
      <c r="O191" s="2"/>
      <c r="P191" s="2"/>
      <c r="Q191" s="2"/>
      <c r="R191" s="15"/>
    </row>
    <row r="192" spans="2:18" x14ac:dyDescent="0.25">
      <c r="B192" s="16" t="s">
        <v>176</v>
      </c>
      <c r="C192" s="2"/>
      <c r="D192" s="2"/>
      <c r="E192" s="2"/>
      <c r="F192" s="2"/>
      <c r="G192" s="2"/>
      <c r="H192" s="2"/>
      <c r="I192" s="2"/>
      <c r="J192" s="2" t="s">
        <v>160</v>
      </c>
      <c r="K192" s="2"/>
      <c r="L192" s="2"/>
      <c r="M192" s="2"/>
      <c r="N192" s="2" t="s">
        <v>161</v>
      </c>
      <c r="O192" s="2"/>
      <c r="P192" s="2"/>
      <c r="Q192" s="2"/>
      <c r="R192" s="15"/>
    </row>
    <row r="193" spans="2:18" x14ac:dyDescent="0.25">
      <c r="B193" s="16" t="s">
        <v>175</v>
      </c>
      <c r="C193" s="2"/>
      <c r="D193" s="2"/>
      <c r="E193" s="2"/>
      <c r="F193" s="2"/>
      <c r="G193" s="2"/>
      <c r="H193" s="2" t="s">
        <v>161</v>
      </c>
      <c r="I193" s="2"/>
      <c r="J193" s="2"/>
      <c r="K193" s="2"/>
      <c r="L193" s="2" t="s">
        <v>160</v>
      </c>
      <c r="M193" s="2"/>
      <c r="N193" s="2"/>
      <c r="O193" s="2"/>
      <c r="P193" s="2"/>
      <c r="Q193" s="2"/>
      <c r="R193" s="15"/>
    </row>
    <row r="194" spans="2:18" x14ac:dyDescent="0.25">
      <c r="B194" s="16" t="s">
        <v>174</v>
      </c>
      <c r="C194" s="2"/>
      <c r="D194" s="2"/>
      <c r="E194" s="2"/>
      <c r="F194" s="2"/>
      <c r="G194" s="2"/>
      <c r="H194" s="2" t="s">
        <v>160</v>
      </c>
      <c r="I194" s="2"/>
      <c r="J194" s="2"/>
      <c r="K194" s="2"/>
      <c r="L194" s="2" t="s">
        <v>161</v>
      </c>
      <c r="M194" s="2"/>
      <c r="N194" s="2"/>
      <c r="O194" s="2"/>
      <c r="P194" s="2"/>
      <c r="Q194" s="2"/>
      <c r="R194" s="15"/>
    </row>
    <row r="195" spans="2:18" x14ac:dyDescent="0.25">
      <c r="B195" s="16" t="s">
        <v>173</v>
      </c>
      <c r="C195" s="2"/>
      <c r="D195" s="2"/>
      <c r="E195" s="2"/>
      <c r="F195" s="2" t="s">
        <v>161</v>
      </c>
      <c r="G195" s="2"/>
      <c r="H195" s="2"/>
      <c r="I195" s="2"/>
      <c r="J195" s="2" t="s">
        <v>160</v>
      </c>
      <c r="K195" s="2"/>
      <c r="L195" s="2"/>
      <c r="M195" s="2"/>
      <c r="N195" s="2"/>
      <c r="O195" s="2"/>
      <c r="P195" s="2"/>
      <c r="Q195" s="2"/>
      <c r="R195" s="15"/>
    </row>
    <row r="196" spans="2:18" x14ac:dyDescent="0.25">
      <c r="B196" s="16" t="s">
        <v>172</v>
      </c>
      <c r="C196" s="2"/>
      <c r="D196" s="2"/>
      <c r="E196" s="2"/>
      <c r="F196" s="2" t="s">
        <v>160</v>
      </c>
      <c r="G196" s="2"/>
      <c r="H196" s="2"/>
      <c r="I196" s="2"/>
      <c r="J196" s="2" t="s">
        <v>161</v>
      </c>
      <c r="K196" s="2"/>
      <c r="L196" s="2"/>
      <c r="M196" s="2"/>
      <c r="N196" s="2"/>
      <c r="O196" s="2"/>
      <c r="P196" s="2"/>
      <c r="Q196" s="2"/>
      <c r="R196" s="15"/>
    </row>
    <row r="197" spans="2:18" x14ac:dyDescent="0.25">
      <c r="B197" s="16" t="s">
        <v>171</v>
      </c>
      <c r="C197" s="2"/>
      <c r="D197" s="2"/>
      <c r="E197" s="2" t="s">
        <v>161</v>
      </c>
      <c r="F197" s="2"/>
      <c r="G197" s="2"/>
      <c r="H197" s="2" t="s">
        <v>160</v>
      </c>
      <c r="I197" s="2"/>
      <c r="J197" s="2"/>
      <c r="K197" s="2"/>
      <c r="L197" s="2"/>
      <c r="M197" s="2"/>
      <c r="N197" s="2"/>
      <c r="O197" s="2"/>
      <c r="P197" s="2"/>
      <c r="Q197" s="2"/>
      <c r="R197" s="15"/>
    </row>
    <row r="198" spans="2:18" x14ac:dyDescent="0.25">
      <c r="B198" s="16" t="s">
        <v>170</v>
      </c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 t="s">
        <v>161</v>
      </c>
      <c r="O198" s="2"/>
      <c r="P198" s="2"/>
      <c r="Q198" s="2"/>
      <c r="R198" s="15" t="s">
        <v>160</v>
      </c>
    </row>
    <row r="199" spans="2:18" x14ac:dyDescent="0.25">
      <c r="B199" s="16" t="s">
        <v>169</v>
      </c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 t="s">
        <v>160</v>
      </c>
      <c r="O199" s="2"/>
      <c r="P199" s="2"/>
      <c r="Q199" s="2"/>
      <c r="R199" s="15" t="s">
        <v>161</v>
      </c>
    </row>
    <row r="200" spans="2:18" x14ac:dyDescent="0.25">
      <c r="B200" s="16" t="s">
        <v>168</v>
      </c>
      <c r="C200" s="2"/>
      <c r="D200" s="2"/>
      <c r="E200" s="2"/>
      <c r="F200" s="2"/>
      <c r="G200" s="2"/>
      <c r="H200" s="2"/>
      <c r="I200" s="2"/>
      <c r="J200" s="2"/>
      <c r="K200" s="2"/>
      <c r="L200" s="2" t="s">
        <v>161</v>
      </c>
      <c r="M200" s="2"/>
      <c r="N200" s="2" t="s">
        <v>160</v>
      </c>
      <c r="O200" s="2"/>
      <c r="P200" s="2"/>
      <c r="Q200" s="2"/>
      <c r="R200" s="15"/>
    </row>
    <row r="201" spans="2:18" x14ac:dyDescent="0.25">
      <c r="B201" s="16" t="s">
        <v>167</v>
      </c>
      <c r="C201" s="2"/>
      <c r="D201" s="2"/>
      <c r="E201" s="2"/>
      <c r="F201" s="2"/>
      <c r="G201" s="2"/>
      <c r="H201" s="2"/>
      <c r="I201" s="2"/>
      <c r="J201" s="2"/>
      <c r="K201" s="2"/>
      <c r="L201" s="2" t="s">
        <v>160</v>
      </c>
      <c r="M201" s="2"/>
      <c r="N201" s="2" t="s">
        <v>161</v>
      </c>
      <c r="O201" s="2"/>
      <c r="P201" s="2"/>
      <c r="Q201" s="2"/>
      <c r="R201" s="15"/>
    </row>
    <row r="202" spans="2:18" x14ac:dyDescent="0.25">
      <c r="B202" s="16" t="s">
        <v>166</v>
      </c>
      <c r="C202" s="2"/>
      <c r="D202" s="2"/>
      <c r="E202" s="2"/>
      <c r="F202" s="2"/>
      <c r="G202" s="2"/>
      <c r="H202" s="2"/>
      <c r="I202" s="2"/>
      <c r="J202" s="2" t="s">
        <v>161</v>
      </c>
      <c r="K202" s="2"/>
      <c r="L202" s="2" t="s">
        <v>160</v>
      </c>
      <c r="M202" s="2"/>
      <c r="N202" s="2"/>
      <c r="O202" s="2"/>
      <c r="P202" s="2"/>
      <c r="Q202" s="2"/>
      <c r="R202" s="15"/>
    </row>
    <row r="203" spans="2:18" x14ac:dyDescent="0.25">
      <c r="B203" s="16" t="s">
        <v>165</v>
      </c>
      <c r="C203" s="2"/>
      <c r="D203" s="2"/>
      <c r="E203" s="2"/>
      <c r="F203" s="2"/>
      <c r="G203" s="2"/>
      <c r="H203" s="2"/>
      <c r="I203" s="2"/>
      <c r="J203" s="2" t="s">
        <v>160</v>
      </c>
      <c r="K203" s="2"/>
      <c r="L203" s="2" t="s">
        <v>161</v>
      </c>
      <c r="M203" s="2"/>
      <c r="N203" s="2"/>
      <c r="O203" s="2"/>
      <c r="P203" s="2"/>
      <c r="Q203" s="2"/>
      <c r="R203" s="15"/>
    </row>
    <row r="204" spans="2:18" x14ac:dyDescent="0.25">
      <c r="B204" s="16" t="s">
        <v>164</v>
      </c>
      <c r="C204" s="2"/>
      <c r="D204" s="2"/>
      <c r="E204" s="2"/>
      <c r="F204" s="2"/>
      <c r="G204" s="2"/>
      <c r="H204" s="2" t="s">
        <v>161</v>
      </c>
      <c r="I204" s="2"/>
      <c r="J204" s="2" t="s">
        <v>160</v>
      </c>
      <c r="K204" s="2"/>
      <c r="L204" s="2"/>
      <c r="M204" s="2"/>
      <c r="N204" s="2"/>
      <c r="O204" s="2"/>
      <c r="P204" s="2"/>
      <c r="Q204" s="2"/>
      <c r="R204" s="15"/>
    </row>
    <row r="205" spans="2:18" x14ac:dyDescent="0.25">
      <c r="B205" s="16" t="s">
        <v>163</v>
      </c>
      <c r="C205" s="2"/>
      <c r="D205" s="2"/>
      <c r="E205" s="2"/>
      <c r="F205" s="2"/>
      <c r="G205" s="2"/>
      <c r="H205" s="2" t="s">
        <v>160</v>
      </c>
      <c r="I205" s="2"/>
      <c r="J205" s="2" t="s">
        <v>161</v>
      </c>
      <c r="K205" s="2"/>
      <c r="L205" s="2"/>
      <c r="M205" s="2"/>
      <c r="N205" s="2"/>
      <c r="O205" s="2"/>
      <c r="P205" s="2"/>
      <c r="Q205" s="2"/>
      <c r="R205" s="15"/>
    </row>
    <row r="206" spans="2:18" x14ac:dyDescent="0.25">
      <c r="B206" s="16" t="s">
        <v>162</v>
      </c>
      <c r="C206" s="2"/>
      <c r="D206" s="2"/>
      <c r="E206" s="2"/>
      <c r="F206" s="2" t="s">
        <v>161</v>
      </c>
      <c r="G206" s="2"/>
      <c r="H206" s="2" t="s">
        <v>160</v>
      </c>
      <c r="I206" s="2"/>
      <c r="J206" s="2"/>
      <c r="K206" s="2"/>
      <c r="L206" s="2"/>
      <c r="M206" s="2"/>
      <c r="N206" s="2"/>
      <c r="O206" s="2"/>
      <c r="P206" s="2"/>
      <c r="Q206" s="2"/>
      <c r="R206" s="15"/>
    </row>
    <row r="208" spans="2:18" x14ac:dyDescent="0.25">
      <c r="B208" t="s">
        <v>161</v>
      </c>
      <c r="C208">
        <f>COUNTIF(Table15[1],$B$208)</f>
        <v>12</v>
      </c>
      <c r="D208">
        <f>COUNTIF(Table15[2],$B$208)</f>
        <v>12</v>
      </c>
      <c r="E208">
        <f>COUNTIF(Table15[3],$B$208)</f>
        <v>12</v>
      </c>
      <c r="F208">
        <f>COUNTIF(Table15[4],$B$208)</f>
        <v>12</v>
      </c>
      <c r="G208">
        <f>COUNTIF(Table15[5],$B$208)</f>
        <v>15</v>
      </c>
      <c r="H208">
        <f>COUNTIF(Table15[6],$B$208)</f>
        <v>10</v>
      </c>
      <c r="I208">
        <f>COUNTIF(Table15[7],$B$208)</f>
        <v>15</v>
      </c>
      <c r="J208">
        <f>COUNTIF(Table15[8],$B$208)</f>
        <v>13</v>
      </c>
      <c r="K208">
        <f>COUNTIF(Table15[9],$B$208)</f>
        <v>15</v>
      </c>
      <c r="L208">
        <f>COUNTIF(Table15[10],$B$208)</f>
        <v>13</v>
      </c>
      <c r="M208">
        <f>COUNTIF(Table15[11],$B$208)</f>
        <v>15</v>
      </c>
      <c r="N208">
        <f>COUNTIF(Table15[12],$B$208)</f>
        <v>13</v>
      </c>
      <c r="O208">
        <f>COUNTIF(Table15[13],$B$208)</f>
        <v>11</v>
      </c>
      <c r="P208">
        <f>COUNTIF(Table15[14],$B$208)</f>
        <v>11</v>
      </c>
      <c r="Q208">
        <f>COUNTIF(Table15[15],$B$208)</f>
        <v>11</v>
      </c>
      <c r="R208">
        <f>COUNTIF(Table15[16],$B$208)</f>
        <v>11</v>
      </c>
    </row>
    <row r="209" spans="2:18" x14ac:dyDescent="0.25">
      <c r="B209" t="s">
        <v>160</v>
      </c>
      <c r="C209">
        <f>COUNTIF(Table15[1],$B$209)</f>
        <v>11</v>
      </c>
      <c r="D209">
        <f>COUNTIF(Table15[2],$B$209)</f>
        <v>11</v>
      </c>
      <c r="E209">
        <f>COUNTIF(Table15[3],$B$209)</f>
        <v>11</v>
      </c>
      <c r="F209">
        <f>COUNTIF(Table15[4],$B$209)</f>
        <v>11</v>
      </c>
      <c r="G209">
        <f>COUNTIF(Table15[5],$B$209)</f>
        <v>13</v>
      </c>
      <c r="H209">
        <f>COUNTIF(Table15[6],$B$209)</f>
        <v>15</v>
      </c>
      <c r="I209">
        <f>COUNTIF(Table15[7],$B$209)</f>
        <v>13</v>
      </c>
      <c r="J209">
        <f>COUNTIF(Table15[8],$B$209)</f>
        <v>15</v>
      </c>
      <c r="K209">
        <f>COUNTIF(Table15[9],$B$209)</f>
        <v>13</v>
      </c>
      <c r="L209">
        <f>COUNTIF(Table15[10],$B$209)</f>
        <v>15</v>
      </c>
      <c r="M209">
        <f>COUNTIF(Table15[11],$B$209)</f>
        <v>10</v>
      </c>
      <c r="N209">
        <f>COUNTIF(Table15[12],$B$209)</f>
        <v>15</v>
      </c>
      <c r="O209">
        <f>COUNTIF(Table15[13],$B$209)</f>
        <v>12</v>
      </c>
      <c r="P209">
        <f>COUNTIF(Table15[14],$B$209)</f>
        <v>12</v>
      </c>
      <c r="Q209">
        <f>COUNTIF(Table15[15],$B$209)</f>
        <v>12</v>
      </c>
      <c r="R209">
        <f>COUNTIF(Table15[16],$B$209)</f>
        <v>12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Connections</vt:lpstr>
      <vt:lpstr>Parts</vt:lpstr>
      <vt:lpstr>Math</vt:lpstr>
      <vt:lpstr>LED_Pins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Pyka</dc:creator>
  <cp:lastModifiedBy>Pyka</cp:lastModifiedBy>
  <cp:lastPrinted>2025-06-21T18:50:27Z</cp:lastPrinted>
  <dcterms:created xsi:type="dcterms:W3CDTF">2015-06-05T18:17:20Z</dcterms:created>
  <dcterms:modified xsi:type="dcterms:W3CDTF">2025-11-18T06:41:41Z</dcterms:modified>
</cp:coreProperties>
</file>